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P:\VERDE ALAGOAS\PROJETOS ETAs - BLOCO C (ALAGOAS)\3. PLANO DE TRABALHO\"/>
    </mc:Choice>
  </mc:AlternateContent>
  <xr:revisionPtr revIDLastSave="0" documentId="13_ncr:1_{D3B5152D-CE3C-4795-9E4F-F1CCBD2BB76E}" xr6:coauthVersionLast="47" xr6:coauthVersionMax="47" xr10:uidLastSave="{00000000-0000-0000-0000-000000000000}"/>
  <bookViews>
    <workbookView xWindow="-28920" yWindow="-120" windowWidth="29040" windowHeight="15720" xr2:uid="{DDB7E5B2-2B5E-4A7A-A809-95E670E262D8}"/>
  </bookViews>
  <sheets>
    <sheet name="Resumo e Plano Ação" sheetId="3" r:id="rId1"/>
  </sheets>
  <definedNames>
    <definedName name="_xlnm._FilterDatabase" localSheetId="0" hidden="1">'Resumo e Plano Ação'!$B$3:$N$344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14" i="3" l="1"/>
  <c r="N340" i="3"/>
  <c r="N333" i="3"/>
  <c r="N343" i="3"/>
  <c r="N337" i="3"/>
  <c r="N336" i="3"/>
  <c r="N332" i="3"/>
  <c r="N331" i="3"/>
  <c r="N329" i="3"/>
  <c r="N327" i="3"/>
  <c r="N326" i="3"/>
  <c r="N324" i="3"/>
  <c r="N322" i="3"/>
  <c r="N321" i="3"/>
  <c r="N250" i="3"/>
  <c r="N247" i="3"/>
  <c r="N248" i="3" s="1"/>
  <c r="N249" i="3" s="1"/>
  <c r="N236" i="3"/>
  <c r="N241" i="3"/>
  <c r="N238" i="3"/>
  <c r="N243" i="3"/>
  <c r="N246" i="3"/>
  <c r="N178" i="3"/>
  <c r="N179" i="3" s="1"/>
  <c r="N183" i="3"/>
  <c r="N184" i="3"/>
  <c r="N188" i="3"/>
  <c r="N181" i="3"/>
  <c r="N176" i="3"/>
  <c r="N174" i="3"/>
  <c r="N185" i="3" s="1"/>
  <c r="N189" i="3" s="1"/>
  <c r="N171" i="3"/>
  <c r="N169" i="3"/>
  <c r="N166" i="3"/>
  <c r="N233" i="3"/>
  <c r="N231" i="3"/>
  <c r="N228" i="3"/>
  <c r="N30" i="3"/>
  <c r="N31" i="3" s="1"/>
  <c r="N32" i="3" s="1"/>
  <c r="K312" i="3"/>
  <c r="K308" i="3"/>
  <c r="M228" i="3"/>
  <c r="M178" i="3"/>
  <c r="M179" i="3" s="1"/>
  <c r="N33" i="3"/>
  <c r="N24" i="3"/>
  <c r="N19" i="3"/>
  <c r="N206" i="3"/>
  <c r="N205" i="3"/>
  <c r="N308" i="3"/>
  <c r="N309" i="3" s="1"/>
  <c r="N310" i="3" s="1"/>
  <c r="N311" i="3" s="1"/>
  <c r="M250" i="3"/>
  <c r="M246" i="3"/>
  <c r="M245" i="3"/>
  <c r="M244" i="3"/>
  <c r="M243" i="3"/>
  <c r="M239" i="3"/>
  <c r="M238" i="3"/>
  <c r="M235" i="3"/>
  <c r="M236" i="3" s="1"/>
  <c r="M247" i="3" s="1"/>
  <c r="M234" i="3"/>
  <c r="M233" i="3"/>
  <c r="M231" i="3"/>
  <c r="M229" i="3"/>
  <c r="M188" i="3"/>
  <c r="M184" i="3"/>
  <c r="M183" i="3"/>
  <c r="M182" i="3"/>
  <c r="M181" i="3"/>
  <c r="M177" i="3"/>
  <c r="M176" i="3"/>
  <c r="M172" i="3"/>
  <c r="M171" i="3"/>
  <c r="M169" i="3"/>
  <c r="M167" i="3"/>
  <c r="M166" i="3"/>
  <c r="M312" i="3"/>
  <c r="L312" i="3"/>
  <c r="M308" i="3"/>
  <c r="L308" i="3"/>
  <c r="M307" i="3"/>
  <c r="L307" i="3"/>
  <c r="K307" i="3"/>
  <c r="M306" i="3"/>
  <c r="L306" i="3"/>
  <c r="K306" i="3"/>
  <c r="M305" i="3"/>
  <c r="L305" i="3"/>
  <c r="K305" i="3"/>
  <c r="M301" i="3"/>
  <c r="L301" i="3"/>
  <c r="K301" i="3"/>
  <c r="M300" i="3"/>
  <c r="L300" i="3"/>
  <c r="K300" i="3"/>
  <c r="M297" i="3"/>
  <c r="M298" i="3" s="1"/>
  <c r="M309" i="3" s="1"/>
  <c r="M296" i="3"/>
  <c r="L296" i="3"/>
  <c r="K296" i="3"/>
  <c r="M295" i="3"/>
  <c r="L295" i="3"/>
  <c r="K295" i="3"/>
  <c r="M293" i="3"/>
  <c r="M291" i="3"/>
  <c r="L291" i="3"/>
  <c r="K291" i="3"/>
  <c r="M290" i="3"/>
  <c r="L290" i="3"/>
  <c r="K290" i="3"/>
  <c r="M281" i="3"/>
  <c r="L281" i="3"/>
  <c r="K281" i="3"/>
  <c r="M277" i="3"/>
  <c r="L277" i="3"/>
  <c r="K277" i="3"/>
  <c r="M276" i="3"/>
  <c r="L276" i="3"/>
  <c r="K276" i="3"/>
  <c r="M275" i="3"/>
  <c r="L275" i="3"/>
  <c r="K275" i="3"/>
  <c r="M274" i="3"/>
  <c r="L274" i="3"/>
  <c r="K274" i="3"/>
  <c r="M270" i="3"/>
  <c r="L270" i="3"/>
  <c r="K270" i="3"/>
  <c r="M269" i="3"/>
  <c r="L269" i="3"/>
  <c r="K269" i="3"/>
  <c r="M266" i="3"/>
  <c r="M267" i="3" s="1"/>
  <c r="M278" i="3" s="1"/>
  <c r="M282" i="3" s="1"/>
  <c r="M265" i="3"/>
  <c r="L265" i="3"/>
  <c r="K265" i="3"/>
  <c r="M264" i="3"/>
  <c r="L264" i="3"/>
  <c r="K264" i="3"/>
  <c r="M262" i="3"/>
  <c r="M260" i="3"/>
  <c r="L260" i="3"/>
  <c r="K260" i="3"/>
  <c r="M259" i="3"/>
  <c r="L259" i="3"/>
  <c r="K259" i="3"/>
  <c r="L246" i="3"/>
  <c r="K246" i="3"/>
  <c r="L245" i="3"/>
  <c r="K245" i="3"/>
  <c r="L244" i="3"/>
  <c r="K244" i="3"/>
  <c r="L243" i="3"/>
  <c r="K243" i="3"/>
  <c r="L239" i="3"/>
  <c r="K239" i="3"/>
  <c r="L238" i="3"/>
  <c r="K238" i="3"/>
  <c r="L234" i="3"/>
  <c r="K234" i="3"/>
  <c r="L233" i="3"/>
  <c r="K233" i="3"/>
  <c r="L229" i="3"/>
  <c r="K229" i="3"/>
  <c r="L228" i="3"/>
  <c r="K228" i="3"/>
  <c r="M219" i="3"/>
  <c r="L219" i="3"/>
  <c r="K219" i="3"/>
  <c r="M215" i="3"/>
  <c r="L215" i="3"/>
  <c r="K215" i="3"/>
  <c r="M214" i="3"/>
  <c r="L214" i="3"/>
  <c r="K214" i="3"/>
  <c r="M213" i="3"/>
  <c r="L213" i="3"/>
  <c r="K213" i="3"/>
  <c r="M212" i="3"/>
  <c r="L212" i="3"/>
  <c r="K212" i="3"/>
  <c r="M208" i="3"/>
  <c r="L208" i="3"/>
  <c r="K208" i="3"/>
  <c r="M207" i="3"/>
  <c r="L207" i="3"/>
  <c r="K207" i="3"/>
  <c r="M204" i="3"/>
  <c r="M205" i="3" s="1"/>
  <c r="M216" i="3" s="1"/>
  <c r="M203" i="3"/>
  <c r="L203" i="3"/>
  <c r="K203" i="3"/>
  <c r="M202" i="3"/>
  <c r="L202" i="3"/>
  <c r="K202" i="3"/>
  <c r="M200" i="3"/>
  <c r="M198" i="3"/>
  <c r="L198" i="3"/>
  <c r="K198" i="3"/>
  <c r="M197" i="3"/>
  <c r="L197" i="3"/>
  <c r="K197" i="3"/>
  <c r="L188" i="3"/>
  <c r="K188" i="3"/>
  <c r="L184" i="3"/>
  <c r="K184" i="3"/>
  <c r="L183" i="3"/>
  <c r="K183" i="3"/>
  <c r="L182" i="3"/>
  <c r="K182" i="3"/>
  <c r="L181" i="3"/>
  <c r="K181" i="3"/>
  <c r="L177" i="3"/>
  <c r="K177" i="3"/>
  <c r="L176" i="3"/>
  <c r="K176" i="3"/>
  <c r="L172" i="3"/>
  <c r="K172" i="3"/>
  <c r="L171" i="3"/>
  <c r="K171" i="3"/>
  <c r="L167" i="3"/>
  <c r="K167" i="3"/>
  <c r="L166" i="3"/>
  <c r="K166" i="3"/>
  <c r="N344" i="3" l="1"/>
  <c r="N341" i="3"/>
  <c r="N342" i="3" s="1"/>
  <c r="N334" i="3"/>
  <c r="N242" i="3"/>
  <c r="N237" i="3" s="1"/>
  <c r="N186" i="3"/>
  <c r="N187" i="3" s="1"/>
  <c r="N34" i="3"/>
  <c r="N25" i="3" s="1"/>
  <c r="N20" i="3" s="1"/>
  <c r="M240" i="3"/>
  <c r="M241" i="3" s="1"/>
  <c r="M251" i="3"/>
  <c r="M242" i="3" s="1"/>
  <c r="M237" i="3" s="1"/>
  <c r="M232" i="3" s="1"/>
  <c r="M248" i="3"/>
  <c r="M249" i="3" s="1"/>
  <c r="M174" i="3"/>
  <c r="M185" i="3" s="1"/>
  <c r="N313" i="3"/>
  <c r="G283" i="3" s="1"/>
  <c r="M271" i="3"/>
  <c r="M272" i="3" s="1"/>
  <c r="M302" i="3"/>
  <c r="M303" i="3" s="1"/>
  <c r="M313" i="3"/>
  <c r="M304" i="3" s="1"/>
  <c r="M299" i="3" s="1"/>
  <c r="M294" i="3" s="1"/>
  <c r="M310" i="3"/>
  <c r="M311" i="3" s="1"/>
  <c r="M273" i="3"/>
  <c r="M268" i="3" s="1"/>
  <c r="M263" i="3" s="1"/>
  <c r="M279" i="3"/>
  <c r="M280" i="3" s="1"/>
  <c r="M209" i="3"/>
  <c r="M210" i="3" s="1"/>
  <c r="M220" i="3"/>
  <c r="M211" i="3" s="1"/>
  <c r="M206" i="3" s="1"/>
  <c r="M201" i="3" s="1"/>
  <c r="M217" i="3"/>
  <c r="M218" i="3" s="1"/>
  <c r="N330" i="3" l="1"/>
  <c r="N325" i="3" s="1"/>
  <c r="N335" i="3"/>
  <c r="G4" i="3"/>
  <c r="N232" i="3"/>
  <c r="G221" i="3"/>
  <c r="N180" i="3"/>
  <c r="N175" i="3" s="1"/>
  <c r="N170" i="3" s="1"/>
  <c r="G159" i="3"/>
  <c r="M189" i="3"/>
  <c r="M180" i="3" s="1"/>
  <c r="M175" i="3" s="1"/>
  <c r="M170" i="3" s="1"/>
  <c r="M186" i="3"/>
  <c r="M187" i="3" s="1"/>
  <c r="M23" i="3"/>
  <c r="M33" i="3"/>
  <c r="L33" i="3"/>
  <c r="K33" i="3"/>
  <c r="M29" i="3"/>
  <c r="L29" i="3"/>
  <c r="K29" i="3"/>
  <c r="M28" i="3"/>
  <c r="L28" i="3"/>
  <c r="K28" i="3"/>
  <c r="M27" i="3"/>
  <c r="L27" i="3"/>
  <c r="K27" i="3"/>
  <c r="M26" i="3"/>
  <c r="L26" i="3"/>
  <c r="K26" i="3"/>
  <c r="M22" i="3"/>
  <c r="L22" i="3"/>
  <c r="K22" i="3"/>
  <c r="M21" i="3"/>
  <c r="L21" i="3"/>
  <c r="K21" i="3"/>
  <c r="M17" i="3"/>
  <c r="L17" i="3"/>
  <c r="K17" i="3"/>
  <c r="M16" i="3"/>
  <c r="L16" i="3"/>
  <c r="K16" i="3"/>
  <c r="M14" i="3"/>
  <c r="M12" i="3"/>
  <c r="L12" i="3"/>
  <c r="K12" i="3"/>
  <c r="M11" i="3"/>
  <c r="L11" i="3"/>
  <c r="K11" i="3"/>
  <c r="M64" i="3"/>
  <c r="L64" i="3"/>
  <c r="K64" i="3"/>
  <c r="M58" i="3"/>
  <c r="M57" i="3"/>
  <c r="L58" i="3"/>
  <c r="L57" i="3"/>
  <c r="K60" i="3"/>
  <c r="K59" i="3"/>
  <c r="K58" i="3"/>
  <c r="K57" i="3"/>
  <c r="M53" i="3"/>
  <c r="M52" i="3"/>
  <c r="L53" i="3"/>
  <c r="L52" i="3"/>
  <c r="K53" i="3"/>
  <c r="K52" i="3"/>
  <c r="M48" i="3"/>
  <c r="M47" i="3"/>
  <c r="L48" i="3"/>
  <c r="L47" i="3"/>
  <c r="K48" i="3"/>
  <c r="K47" i="3"/>
  <c r="M43" i="3"/>
  <c r="M42" i="3"/>
  <c r="L43" i="3"/>
  <c r="L42" i="3"/>
  <c r="K43" i="3"/>
  <c r="K42" i="3"/>
  <c r="N60" i="3"/>
  <c r="M61" i="3" s="1"/>
  <c r="M60" i="3"/>
  <c r="M59" i="3"/>
  <c r="L60" i="3"/>
  <c r="L59" i="3"/>
  <c r="M123" i="3"/>
  <c r="M127" i="3" s="1"/>
  <c r="M343" i="3"/>
  <c r="M337" i="3"/>
  <c r="M336" i="3"/>
  <c r="M332" i="3"/>
  <c r="M331" i="3"/>
  <c r="M327" i="3"/>
  <c r="M326" i="3"/>
  <c r="M322" i="3"/>
  <c r="M323" i="3" s="1"/>
  <c r="M95" i="3"/>
  <c r="M90" i="3"/>
  <c r="M89" i="3"/>
  <c r="M88" i="3"/>
  <c r="M84" i="3"/>
  <c r="M83" i="3"/>
  <c r="M79" i="3"/>
  <c r="M78" i="3"/>
  <c r="M74" i="3"/>
  <c r="M73" i="3"/>
  <c r="M126" i="3"/>
  <c r="M121" i="3"/>
  <c r="M120" i="3"/>
  <c r="M119" i="3"/>
  <c r="M115" i="3"/>
  <c r="M114" i="3"/>
  <c r="M104" i="3"/>
  <c r="M105" i="3"/>
  <c r="M107" i="3"/>
  <c r="M109" i="3"/>
  <c r="M110" i="3"/>
  <c r="M111" i="3"/>
  <c r="M116" i="3" s="1"/>
  <c r="M117" i="3" s="1"/>
  <c r="M152" i="3"/>
  <c r="M151" i="3"/>
  <c r="M150" i="3"/>
  <c r="M146" i="3"/>
  <c r="M145" i="3"/>
  <c r="M141" i="3"/>
  <c r="M136" i="3"/>
  <c r="M65" i="3" l="1"/>
  <c r="M24" i="3"/>
  <c r="M19" i="3"/>
  <c r="M62" i="3"/>
  <c r="G97" i="3"/>
  <c r="M112" i="3"/>
  <c r="M324" i="3"/>
  <c r="M328" i="3"/>
  <c r="M329" i="3" s="1"/>
  <c r="K343" i="3"/>
  <c r="K339" i="3"/>
  <c r="K338" i="3"/>
  <c r="K337" i="3"/>
  <c r="K336" i="3"/>
  <c r="K332" i="3"/>
  <c r="K331" i="3"/>
  <c r="K327" i="3"/>
  <c r="K326" i="3"/>
  <c r="K322" i="3"/>
  <c r="K321" i="3"/>
  <c r="K95" i="3"/>
  <c r="M30" i="3" l="1"/>
  <c r="M34" i="3" s="1"/>
  <c r="M25" i="3" s="1"/>
  <c r="M20" i="3" s="1"/>
  <c r="M15" i="3" s="1"/>
  <c r="M124" i="3"/>
  <c r="M125" i="3" s="1"/>
  <c r="M118" i="3" s="1"/>
  <c r="M113" i="3" s="1"/>
  <c r="M108" i="3" s="1"/>
  <c r="M333" i="3"/>
  <c r="M334" i="3" s="1"/>
  <c r="M340" i="3"/>
  <c r="K126" i="3"/>
  <c r="K119" i="3"/>
  <c r="K114" i="3"/>
  <c r="K109" i="3"/>
  <c r="K104" i="3"/>
  <c r="M157" i="3"/>
  <c r="K157" i="3"/>
  <c r="M147" i="3"/>
  <c r="M148" i="3" s="1"/>
  <c r="M153" i="3"/>
  <c r="K153" i="3"/>
  <c r="K152" i="3"/>
  <c r="K140" i="3"/>
  <c r="M135" i="3"/>
  <c r="M137" i="3" s="1"/>
  <c r="M138" i="3" s="1"/>
  <c r="M91" i="3"/>
  <c r="K91" i="3"/>
  <c r="K90" i="3"/>
  <c r="K89" i="3"/>
  <c r="K84" i="3"/>
  <c r="M80" i="3"/>
  <c r="M85" i="3" s="1"/>
  <c r="K79" i="3"/>
  <c r="M75" i="3"/>
  <c r="K74" i="3"/>
  <c r="M31" i="3" l="1"/>
  <c r="M32" i="3" s="1"/>
  <c r="M344" i="3"/>
  <c r="M341" i="3"/>
  <c r="M49" i="3"/>
  <c r="M54" i="3" s="1"/>
  <c r="B44" i="3"/>
  <c r="B45" i="3"/>
  <c r="M140" i="3"/>
  <c r="M142" i="3" l="1"/>
  <c r="M154" i="3" s="1"/>
  <c r="M143" i="3" l="1"/>
  <c r="M321" i="3"/>
  <c r="M45" i="3"/>
  <c r="B108" i="3"/>
  <c r="B109" i="3"/>
  <c r="B72" i="3"/>
  <c r="B73" i="3"/>
  <c r="B74" i="3"/>
  <c r="B75" i="3"/>
  <c r="B60" i="3"/>
  <c r="B61" i="3"/>
  <c r="B28" i="3"/>
  <c r="B29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14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283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52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21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190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59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28" i="3"/>
  <c r="B96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7" i="3"/>
  <c r="B106" i="3"/>
  <c r="B105" i="3"/>
  <c r="B104" i="3"/>
  <c r="B103" i="3"/>
  <c r="B102" i="3"/>
  <c r="B101" i="3"/>
  <c r="B100" i="3"/>
  <c r="B99" i="3"/>
  <c r="B98" i="3"/>
  <c r="B97" i="3"/>
  <c r="B33" i="3"/>
  <c r="B67" i="3"/>
  <c r="B68" i="3"/>
  <c r="B69" i="3"/>
  <c r="B70" i="3"/>
  <c r="B71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66" i="3"/>
  <c r="B65" i="3"/>
  <c r="B36" i="3"/>
  <c r="B37" i="3"/>
  <c r="B38" i="3"/>
  <c r="B39" i="3"/>
  <c r="B40" i="3"/>
  <c r="B41" i="3"/>
  <c r="B42" i="3"/>
  <c r="B43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2" i="3"/>
  <c r="B63" i="3"/>
  <c r="B64" i="3"/>
  <c r="B35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30" i="3"/>
  <c r="B31" i="3"/>
  <c r="B32" i="3"/>
  <c r="B34" i="3"/>
  <c r="B4" i="3"/>
  <c r="M158" i="3" l="1"/>
  <c r="M155" i="3"/>
  <c r="M156" i="3" s="1"/>
  <c r="M76" i="3"/>
  <c r="M55" i="3" l="1"/>
  <c r="M50" i="3"/>
  <c r="M81" i="3"/>
  <c r="M92" i="3" s="1"/>
  <c r="M96" i="3" s="1"/>
  <c r="M86" i="3"/>
  <c r="M63" i="3"/>
  <c r="M342" i="3"/>
  <c r="M149" i="3"/>
  <c r="M144" i="3" s="1"/>
  <c r="M139" i="3" s="1"/>
  <c r="G128" i="3"/>
  <c r="G190" i="3"/>
  <c r="G66" i="3" l="1"/>
  <c r="M56" i="3"/>
  <c r="M51" i="3" s="1"/>
  <c r="M46" i="3" s="1"/>
  <c r="G35" i="3"/>
  <c r="M330" i="3"/>
  <c r="M325" i="3" s="1"/>
  <c r="M335" i="3"/>
  <c r="G252" i="3"/>
  <c r="M93" i="3" l="1"/>
  <c r="M94" i="3" s="1"/>
  <c r="M87" i="3" s="1"/>
  <c r="M82" i="3" s="1"/>
  <c r="M77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tc={2A5141F3-3837-4E18-B890-823617E1C582}</author>
  </authors>
  <commentList>
    <comment ref="F252" authorId="0" shapeId="0" xr:uid="{2A5141F3-3837-4E18-B890-823617E1C58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Aguardando definição de projeto</t>
      </text>
    </comment>
  </commentList>
</comments>
</file>

<file path=xl/sharedStrings.xml><?xml version="1.0" encoding="utf-8"?>
<sst xmlns="http://schemas.openxmlformats.org/spreadsheetml/2006/main" count="1498" uniqueCount="55">
  <si>
    <t>Município</t>
  </si>
  <si>
    <t>Topografia</t>
  </si>
  <si>
    <t>Pendente</t>
  </si>
  <si>
    <t>N/A</t>
  </si>
  <si>
    <t>Concluído</t>
  </si>
  <si>
    <t>TAQUARANA</t>
  </si>
  <si>
    <t>UNIÃO DOS PALMARES</t>
  </si>
  <si>
    <t>MATRIZ DE CAMARAGIBE</t>
  </si>
  <si>
    <t>CAPELA</t>
  </si>
  <si>
    <t>MAR VERMELHO</t>
  </si>
  <si>
    <t>CAMPESTRE</t>
  </si>
  <si>
    <t>IBATEGUARA</t>
  </si>
  <si>
    <t>JACUÍPE</t>
  </si>
  <si>
    <t>PASSO DE CAMARAGIBE</t>
  </si>
  <si>
    <t>JOAQUIM GOMES</t>
  </si>
  <si>
    <t>NOVO LINO</t>
  </si>
  <si>
    <t>As-Built</t>
  </si>
  <si>
    <t>Área de Implantação</t>
  </si>
  <si>
    <t>-</t>
  </si>
  <si>
    <t>Plano de Sondagem</t>
  </si>
  <si>
    <t>Projeto Elétrico</t>
  </si>
  <si>
    <t>Responsável</t>
  </si>
  <si>
    <t>VERDE</t>
  </si>
  <si>
    <t>LINDNER</t>
  </si>
  <si>
    <t>Alterações de Layouts e Unidades dentro da Área da ETA</t>
  </si>
  <si>
    <t>BIANCADE</t>
  </si>
  <si>
    <t>Atrasado</t>
  </si>
  <si>
    <t>Projeto de Layout e Implantação</t>
  </si>
  <si>
    <t>Projeto Hidráulico e Hidromecânico</t>
  </si>
  <si>
    <t>Pacote Técnico (Memoriais, Especificações e Orçamento)</t>
  </si>
  <si>
    <t>Projetos Estruturais e Geotécnicos</t>
  </si>
  <si>
    <t>Data Prevista de Início do PE</t>
  </si>
  <si>
    <t>Data de Prevista de Término do PE</t>
  </si>
  <si>
    <t>Atividade</t>
  </si>
  <si>
    <t>Data de Entrega Final</t>
  </si>
  <si>
    <t>Plano de Ação</t>
  </si>
  <si>
    <t>Data de Conclusão</t>
  </si>
  <si>
    <t>Status Atual</t>
  </si>
  <si>
    <t>Envio do Projeto As-Built</t>
  </si>
  <si>
    <t>Envio dos pontos de sondagem</t>
  </si>
  <si>
    <t>Execução e envio do relatório</t>
  </si>
  <si>
    <t>Envio do Projeto</t>
  </si>
  <si>
    <t>Envio da análise e avaliação</t>
  </si>
  <si>
    <t>Finalização do projeto executivo com as revisões</t>
  </si>
  <si>
    <t>Município Filtro</t>
  </si>
  <si>
    <t>Data Estimada</t>
  </si>
  <si>
    <t>Envio do Pacote Técnico</t>
  </si>
  <si>
    <t>Elaboração após conclusão dos Projetos Executivos</t>
  </si>
  <si>
    <t>Status Da ETA</t>
  </si>
  <si>
    <t>Projeto, Memorial de Cálculo e Descritivo do Módulo de Tratamento (ETA)</t>
  </si>
  <si>
    <t>Envio do Projeto da ETA</t>
  </si>
  <si>
    <t>Evolução</t>
  </si>
  <si>
    <t>Envio do Levantamento Topográfico</t>
  </si>
  <si>
    <t>Definição da área de implantação</t>
  </si>
  <si>
    <t>Definição de unidades que estarão dentro da área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</si>
</sst>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sz val="11"/>
      <color theme="1"/>
      <name val="Aptos Narrow"/>
      <family val="2"/>
      <scheme val="minor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9" fontId="2" fillId="0" borderId="0" xfId="1" applyFont="1" applyAlignment="1">
      <alignment horizontal="center" vertical="center" wrapText="1"/>
    </xf>
    <xf numFmtId="9" fontId="2" fillId="0" borderId="1" xfId="1" applyFont="1" applyBorder="1" applyAlignment="1">
      <alignment horizontal="center" vertical="center" wrapText="1"/>
    </xf>
    <xf numFmtId="9" fontId="2" fillId="3" borderId="1" xfId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9" fontId="5" fillId="3" borderId="1" xfId="1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9" fontId="5" fillId="0" borderId="1" xfId="1" applyFont="1" applyFill="1" applyBorder="1" applyAlignment="1">
      <alignment horizontal="center" vertical="center" wrapText="1"/>
    </xf>
    <xf numFmtId="9" fontId="5" fillId="0" borderId="1" xfId="1" applyFont="1" applyBorder="1" applyAlignment="1">
      <alignment horizontal="center" vertical="center" wrapText="1"/>
    </xf>
    <xf numFmtId="14" fontId="5" fillId="3" borderId="1" xfId="1" applyNumberFormat="1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9" fontId="1" fillId="4" borderId="2" xfId="1" applyFont="1" applyFill="1" applyBorder="1" applyAlignment="1">
      <alignment horizontal="center" vertical="center" wrapText="1"/>
    </xf>
    <xf numFmtId="14" fontId="1" fillId="4" borderId="2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9" fontId="2" fillId="0" borderId="4" xfId="1" applyFont="1" applyBorder="1" applyAlignment="1">
      <alignment horizontal="center" vertical="center" wrapText="1"/>
    </xf>
    <xf numFmtId="14" fontId="2" fillId="0" borderId="4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14" fontId="2" fillId="0" borderId="7" xfId="0" applyNumberFormat="1" applyFont="1" applyBorder="1" applyAlignment="1">
      <alignment horizontal="center" vertical="center" wrapText="1"/>
    </xf>
    <xf numFmtId="14" fontId="2" fillId="3" borderId="7" xfId="0" applyNumberFormat="1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9" fontId="2" fillId="0" borderId="9" xfId="1" applyFont="1" applyBorder="1" applyAlignment="1">
      <alignment horizontal="center" vertical="center" wrapText="1"/>
    </xf>
    <xf numFmtId="14" fontId="2" fillId="0" borderId="9" xfId="0" applyNumberFormat="1" applyFont="1" applyBorder="1" applyAlignment="1">
      <alignment horizontal="center" vertical="center" wrapText="1"/>
    </xf>
    <xf numFmtId="14" fontId="2" fillId="0" borderId="10" xfId="0" applyNumberFormat="1" applyFont="1" applyBorder="1" applyAlignment="1">
      <alignment horizontal="center" vertical="center" wrapText="1"/>
    </xf>
    <xf numFmtId="14" fontId="2" fillId="3" borderId="3" xfId="0" applyNumberFormat="1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9" fontId="5" fillId="0" borderId="4" xfId="1" applyFont="1" applyBorder="1" applyAlignment="1">
      <alignment horizontal="center" vertical="center" wrapText="1"/>
    </xf>
    <xf numFmtId="14" fontId="5" fillId="0" borderId="4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14" fontId="2" fillId="3" borderId="6" xfId="0" applyNumberFormat="1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14" fontId="5" fillId="0" borderId="7" xfId="0" applyNumberFormat="1" applyFont="1" applyBorder="1" applyAlignment="1">
      <alignment horizontal="center" vertical="center" wrapText="1"/>
    </xf>
    <xf numFmtId="14" fontId="5" fillId="3" borderId="7" xfId="0" applyNumberFormat="1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14" fontId="5" fillId="3" borderId="7" xfId="1" applyNumberFormat="1" applyFont="1" applyFill="1" applyBorder="1" applyAlignment="1">
      <alignment horizontal="center" vertical="center" wrapText="1"/>
    </xf>
    <xf numFmtId="14" fontId="2" fillId="3" borderId="8" xfId="0" applyNumberFormat="1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9" fontId="5" fillId="0" borderId="9" xfId="1" applyFont="1" applyBorder="1" applyAlignment="1">
      <alignment horizontal="center" vertical="center" wrapText="1"/>
    </xf>
    <xf numFmtId="14" fontId="5" fillId="0" borderId="9" xfId="0" applyNumberFormat="1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center" vertical="center" wrapText="1"/>
    </xf>
    <xf numFmtId="14" fontId="2" fillId="0" borderId="6" xfId="0" applyNumberFormat="1" applyFont="1" applyBorder="1" applyAlignment="1">
      <alignment horizontal="center" vertical="center" wrapText="1"/>
    </xf>
    <xf numFmtId="14" fontId="2" fillId="0" borderId="8" xfId="0" applyNumberFormat="1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4" fontId="5" fillId="0" borderId="10" xfId="0" applyNumberFormat="1" applyFont="1" applyBorder="1" applyAlignment="1">
      <alignment horizontal="center" vertical="center" wrapText="1"/>
    </xf>
    <xf numFmtId="9" fontId="5" fillId="0" borderId="4" xfId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9" xfId="0" applyFont="1" applyFill="1" applyBorder="1" applyAlignment="1">
      <alignment horizontal="center" vertical="top" wrapText="1"/>
    </xf>
    <xf numFmtId="14" fontId="2" fillId="3" borderId="4" xfId="0" applyNumberFormat="1" applyFont="1" applyFill="1" applyBorder="1" applyAlignment="1">
      <alignment horizontal="center" vertical="top" wrapText="1"/>
    </xf>
    <xf numFmtId="14" fontId="2" fillId="3" borderId="1" xfId="0" applyNumberFormat="1" applyFont="1" applyFill="1" applyBorder="1" applyAlignment="1">
      <alignment horizontal="center" vertical="top" wrapText="1"/>
    </xf>
    <xf numFmtId="14" fontId="2" fillId="3" borderId="9" xfId="0" applyNumberFormat="1" applyFont="1" applyFill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14" fontId="2" fillId="2" borderId="4" xfId="0" applyNumberFormat="1" applyFont="1" applyFill="1" applyBorder="1" applyAlignment="1">
      <alignment horizontal="center" vertical="top" wrapText="1"/>
    </xf>
    <xf numFmtId="14" fontId="2" fillId="2" borderId="1" xfId="0" applyNumberFormat="1" applyFont="1" applyFill="1" applyBorder="1" applyAlignment="1">
      <alignment horizontal="center" vertical="top" wrapText="1"/>
    </xf>
    <xf numFmtId="14" fontId="2" fillId="2" borderId="9" xfId="0" applyNumberFormat="1" applyFont="1" applyFill="1" applyBorder="1" applyAlignment="1">
      <alignment horizontal="center" vertical="top" wrapText="1"/>
    </xf>
    <xf numFmtId="14" fontId="5" fillId="2" borderId="4" xfId="0" applyNumberFormat="1" applyFont="1" applyFill="1" applyBorder="1" applyAlignment="1">
      <alignment horizontal="center" vertical="top" wrapText="1"/>
    </xf>
    <xf numFmtId="14" fontId="5" fillId="2" borderId="1" xfId="0" applyNumberFormat="1" applyFont="1" applyFill="1" applyBorder="1" applyAlignment="1">
      <alignment horizontal="center" vertical="top" wrapText="1"/>
    </xf>
    <xf numFmtId="14" fontId="5" fillId="2" borderId="9" xfId="0" applyNumberFormat="1" applyFont="1" applyFill="1" applyBorder="1" applyAlignment="1">
      <alignment horizontal="center" vertical="top" wrapText="1"/>
    </xf>
    <xf numFmtId="14" fontId="3" fillId="2" borderId="1" xfId="0" applyNumberFormat="1" applyFont="1" applyFill="1" applyBorder="1" applyAlignment="1">
      <alignment horizontal="center" vertical="top" wrapText="1"/>
    </xf>
    <xf numFmtId="14" fontId="3" fillId="2" borderId="9" xfId="0" applyNumberFormat="1" applyFont="1" applyFill="1" applyBorder="1" applyAlignment="1">
      <alignment horizontal="center" vertical="top" wrapText="1"/>
    </xf>
    <xf numFmtId="14" fontId="5" fillId="3" borderId="4" xfId="0" applyNumberFormat="1" applyFont="1" applyFill="1" applyBorder="1" applyAlignment="1">
      <alignment horizontal="center" vertical="top" wrapText="1"/>
    </xf>
    <xf numFmtId="14" fontId="5" fillId="3" borderId="1" xfId="0" applyNumberFormat="1" applyFont="1" applyFill="1" applyBorder="1" applyAlignment="1">
      <alignment horizontal="center" vertical="top" wrapText="1"/>
    </xf>
    <xf numFmtId="14" fontId="5" fillId="3" borderId="9" xfId="0" applyNumberFormat="1" applyFont="1" applyFill="1" applyBorder="1" applyAlignment="1">
      <alignment horizontal="center" vertical="top" wrapText="1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colors>
    <mruColors>
      <color rgb="FF4D4D4D"/>
      <color rgb="FF81B5B0"/>
      <color rgb="FF007C6D"/>
      <color rgb="FFD8E3E4"/>
      <color rgb="FF00772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iansante, Bruno" id="{B4127EAA-A534-436E-B54D-63E4EF270569}" userId="S::bruno.giansante@biancade.com.br::83ce5ed6-2ecc-4436-a678-9524e21e46e5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252" dT="2025-11-25T18:58:04.44" personId="{B4127EAA-A534-436E-B54D-63E4EF270569}" id="{2A5141F3-3837-4E18-B890-823617E1C582}">
    <text>Aguardando definição de projeto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FB18A-851F-4248-8A89-C9474DAE237B}">
  <sheetPr filterMode="1"/>
  <dimension ref="B3:N344"/>
  <sheetViews>
    <sheetView tabSelected="1" zoomScale="70" zoomScaleNormal="70" workbookViewId="0">
      <selection activeCell="K240" sqref="K240"/>
    </sheetView>
  </sheetViews>
  <sheetFormatPr defaultColWidth="9.140625" defaultRowHeight="15" x14ac:dyDescent="0.25"/>
  <cols>
    <col min="1" max="1" width="1.5703125" style="1" customWidth="1"/>
    <col min="2" max="2" width="29.42578125" style="6" bestFit="1" customWidth="1"/>
    <col min="3" max="3" width="26.7109375" style="8" customWidth="1"/>
    <col min="4" max="4" width="21.85546875" style="8" customWidth="1"/>
    <col min="5" max="5" width="22.7109375" style="8" customWidth="1"/>
    <col min="6" max="6" width="23.42578125" style="8" bestFit="1" customWidth="1"/>
    <col min="7" max="7" width="19.140625" style="8" customWidth="1"/>
    <col min="8" max="8" width="86.42578125" style="6" bestFit="1" customWidth="1"/>
    <col min="9" max="9" width="22.42578125" style="6" bestFit="1" customWidth="1"/>
    <col min="10" max="10" width="55" style="6" customWidth="1"/>
    <col min="11" max="11" width="17.7109375" style="9" bestFit="1" customWidth="1"/>
    <col min="12" max="12" width="21.42578125" style="6" bestFit="1" customWidth="1"/>
    <col min="13" max="13" width="23.5703125" style="7" bestFit="1" customWidth="1"/>
    <col min="14" max="14" width="18" style="6" customWidth="1"/>
    <col min="15" max="16384" width="9.140625" style="1"/>
  </cols>
  <sheetData>
    <row r="3" spans="2:14" ht="32.25" thickBot="1" x14ac:dyDescent="0.3">
      <c r="B3" s="20" t="s">
        <v>44</v>
      </c>
      <c r="C3" s="20" t="s">
        <v>0</v>
      </c>
      <c r="D3" s="20" t="s">
        <v>31</v>
      </c>
      <c r="E3" s="20" t="s">
        <v>32</v>
      </c>
      <c r="F3" s="20" t="s">
        <v>48</v>
      </c>
      <c r="G3" s="20" t="s">
        <v>34</v>
      </c>
      <c r="H3" s="20" t="s">
        <v>33</v>
      </c>
      <c r="I3" s="20" t="s">
        <v>21</v>
      </c>
      <c r="J3" s="20" t="s">
        <v>35</v>
      </c>
      <c r="K3" s="21" t="s">
        <v>51</v>
      </c>
      <c r="L3" s="20" t="s">
        <v>37</v>
      </c>
      <c r="M3" s="22" t="s">
        <v>45</v>
      </c>
      <c r="N3" s="20" t="s">
        <v>36</v>
      </c>
    </row>
    <row r="4" spans="2:14" ht="15.75" hidden="1" thickBot="1" x14ac:dyDescent="0.3">
      <c r="B4" s="23" t="str">
        <f>$C$4</f>
        <v>MATRIZ DE CAMARAGIBE</v>
      </c>
      <c r="C4" s="66" t="s">
        <v>7</v>
      </c>
      <c r="D4" s="69">
        <v>45782</v>
      </c>
      <c r="E4" s="69">
        <v>45912</v>
      </c>
      <c r="F4" s="72" t="s">
        <v>2</v>
      </c>
      <c r="G4" s="72">
        <f>N34</f>
        <v>46115</v>
      </c>
      <c r="H4" s="24" t="s">
        <v>17</v>
      </c>
      <c r="I4" s="24" t="s">
        <v>22</v>
      </c>
      <c r="J4" s="24" t="s">
        <v>53</v>
      </c>
      <c r="K4" s="25">
        <v>1</v>
      </c>
      <c r="L4" s="24" t="s">
        <v>4</v>
      </c>
      <c r="M4" s="26" t="s">
        <v>18</v>
      </c>
      <c r="N4" s="27" t="s">
        <v>18</v>
      </c>
    </row>
    <row r="5" spans="2:14" ht="15.75" hidden="1" thickBot="1" x14ac:dyDescent="0.3">
      <c r="B5" s="28" t="str">
        <f t="shared" ref="B5:B34" si="0">$C$4</f>
        <v>MATRIZ DE CAMARAGIBE</v>
      </c>
      <c r="C5" s="67"/>
      <c r="D5" s="70"/>
      <c r="E5" s="70"/>
      <c r="F5" s="75"/>
      <c r="G5" s="73"/>
      <c r="H5" s="3" t="s">
        <v>24</v>
      </c>
      <c r="I5" s="3" t="s">
        <v>22</v>
      </c>
      <c r="J5" s="3" t="s">
        <v>54</v>
      </c>
      <c r="K5" s="11" t="s">
        <v>18</v>
      </c>
      <c r="L5" s="3" t="s">
        <v>3</v>
      </c>
      <c r="M5" s="5" t="s">
        <v>18</v>
      </c>
      <c r="N5" s="29" t="s">
        <v>18</v>
      </c>
    </row>
    <row r="6" spans="2:14" ht="15.75" hidden="1" thickBot="1" x14ac:dyDescent="0.3">
      <c r="B6" s="28" t="str">
        <f t="shared" si="0"/>
        <v>MATRIZ DE CAMARAGIBE</v>
      </c>
      <c r="C6" s="67"/>
      <c r="D6" s="70"/>
      <c r="E6" s="70"/>
      <c r="F6" s="75"/>
      <c r="G6" s="73"/>
      <c r="H6" s="2" t="s">
        <v>49</v>
      </c>
      <c r="I6" s="2" t="s">
        <v>23</v>
      </c>
      <c r="J6" s="2" t="s">
        <v>50</v>
      </c>
      <c r="K6" s="10">
        <v>1</v>
      </c>
      <c r="L6" s="2" t="s">
        <v>4</v>
      </c>
      <c r="M6" s="4">
        <v>46024</v>
      </c>
      <c r="N6" s="30" t="s">
        <v>18</v>
      </c>
    </row>
    <row r="7" spans="2:14" ht="15.75" hidden="1" thickBot="1" x14ac:dyDescent="0.3">
      <c r="B7" s="28" t="str">
        <f t="shared" si="0"/>
        <v>MATRIZ DE CAMARAGIBE</v>
      </c>
      <c r="C7" s="67"/>
      <c r="D7" s="70"/>
      <c r="E7" s="70"/>
      <c r="F7" s="75"/>
      <c r="G7" s="73"/>
      <c r="H7" s="3" t="s">
        <v>1</v>
      </c>
      <c r="I7" s="3" t="s">
        <v>22</v>
      </c>
      <c r="J7" s="3" t="s">
        <v>52</v>
      </c>
      <c r="K7" s="11">
        <v>1</v>
      </c>
      <c r="L7" s="3" t="s">
        <v>4</v>
      </c>
      <c r="M7" s="5" t="s">
        <v>18</v>
      </c>
      <c r="N7" s="31" t="s">
        <v>18</v>
      </c>
    </row>
    <row r="8" spans="2:14" ht="15.75" hidden="1" thickBot="1" x14ac:dyDescent="0.3">
      <c r="B8" s="28" t="str">
        <f t="shared" si="0"/>
        <v>MATRIZ DE CAMARAGIBE</v>
      </c>
      <c r="C8" s="67"/>
      <c r="D8" s="70"/>
      <c r="E8" s="70"/>
      <c r="F8" s="75"/>
      <c r="G8" s="73"/>
      <c r="H8" s="2" t="s">
        <v>16</v>
      </c>
      <c r="I8" s="2" t="s">
        <v>22</v>
      </c>
      <c r="J8" s="2" t="s">
        <v>38</v>
      </c>
      <c r="K8" s="10">
        <v>1</v>
      </c>
      <c r="L8" s="2" t="s">
        <v>4</v>
      </c>
      <c r="M8" s="4">
        <v>45975</v>
      </c>
      <c r="N8" s="32" t="s">
        <v>18</v>
      </c>
    </row>
    <row r="9" spans="2:14" ht="15.75" hidden="1" thickBot="1" x14ac:dyDescent="0.3">
      <c r="B9" s="28" t="str">
        <f t="shared" si="0"/>
        <v>MATRIZ DE CAMARAGIBE</v>
      </c>
      <c r="C9" s="67"/>
      <c r="D9" s="70"/>
      <c r="E9" s="70"/>
      <c r="F9" s="75"/>
      <c r="G9" s="73"/>
      <c r="H9" s="3" t="s">
        <v>19</v>
      </c>
      <c r="I9" s="3" t="s">
        <v>25</v>
      </c>
      <c r="J9" s="3" t="s">
        <v>39</v>
      </c>
      <c r="K9" s="11">
        <v>1</v>
      </c>
      <c r="L9" s="3" t="s">
        <v>4</v>
      </c>
      <c r="M9" s="5" t="s">
        <v>18</v>
      </c>
      <c r="N9" s="29" t="s">
        <v>18</v>
      </c>
    </row>
    <row r="10" spans="2:14" ht="15.75" hidden="1" thickBot="1" x14ac:dyDescent="0.3">
      <c r="B10" s="28" t="str">
        <f t="shared" si="0"/>
        <v>MATRIZ DE CAMARAGIBE</v>
      </c>
      <c r="C10" s="67"/>
      <c r="D10" s="70"/>
      <c r="E10" s="70"/>
      <c r="F10" s="75"/>
      <c r="G10" s="73"/>
      <c r="H10" s="3" t="s">
        <v>19</v>
      </c>
      <c r="I10" s="3" t="s">
        <v>22</v>
      </c>
      <c r="J10" s="3" t="s">
        <v>40</v>
      </c>
      <c r="K10" s="11">
        <v>1</v>
      </c>
      <c r="L10" s="3" t="s">
        <v>4</v>
      </c>
      <c r="M10" s="5">
        <v>46003</v>
      </c>
      <c r="N10" s="31">
        <v>46056</v>
      </c>
    </row>
    <row r="11" spans="2:14" ht="15.75" hidden="1" thickBot="1" x14ac:dyDescent="0.3">
      <c r="B11" s="28" t="str">
        <f t="shared" si="0"/>
        <v>MATRIZ DE CAMARAGIBE</v>
      </c>
      <c r="C11" s="67"/>
      <c r="D11" s="70"/>
      <c r="E11" s="70"/>
      <c r="F11" s="75"/>
      <c r="G11" s="73"/>
      <c r="H11" s="2" t="s">
        <v>27</v>
      </c>
      <c r="I11" s="2" t="s">
        <v>23</v>
      </c>
      <c r="J11" s="2" t="s">
        <v>50</v>
      </c>
      <c r="K11" s="10">
        <f>K6</f>
        <v>1</v>
      </c>
      <c r="L11" s="2" t="str">
        <f>L6</f>
        <v>Concluído</v>
      </c>
      <c r="M11" s="4">
        <f>M6</f>
        <v>46024</v>
      </c>
      <c r="N11" s="30" t="s">
        <v>18</v>
      </c>
    </row>
    <row r="12" spans="2:14" ht="15.75" hidden="1" thickBot="1" x14ac:dyDescent="0.3">
      <c r="B12" s="28" t="str">
        <f t="shared" si="0"/>
        <v>MATRIZ DE CAMARAGIBE</v>
      </c>
      <c r="C12" s="67"/>
      <c r="D12" s="70"/>
      <c r="E12" s="70"/>
      <c r="F12" s="75"/>
      <c r="G12" s="73"/>
      <c r="H12" s="2" t="s">
        <v>27</v>
      </c>
      <c r="I12" s="2" t="s">
        <v>22</v>
      </c>
      <c r="J12" s="2" t="s">
        <v>38</v>
      </c>
      <c r="K12" s="10">
        <f>K8</f>
        <v>1</v>
      </c>
      <c r="L12" s="2" t="str">
        <f>L8</f>
        <v>Concluído</v>
      </c>
      <c r="M12" s="4">
        <f>M8</f>
        <v>45975</v>
      </c>
      <c r="N12" s="32" t="s">
        <v>18</v>
      </c>
    </row>
    <row r="13" spans="2:14" ht="15.75" hidden="1" thickBot="1" x14ac:dyDescent="0.3">
      <c r="B13" s="28" t="str">
        <f t="shared" si="0"/>
        <v>MATRIZ DE CAMARAGIBE</v>
      </c>
      <c r="C13" s="67"/>
      <c r="D13" s="70"/>
      <c r="E13" s="70"/>
      <c r="F13" s="75"/>
      <c r="G13" s="73"/>
      <c r="H13" s="2" t="s">
        <v>27</v>
      </c>
      <c r="I13" s="2" t="s">
        <v>25</v>
      </c>
      <c r="J13" s="2" t="s">
        <v>41</v>
      </c>
      <c r="K13" s="10">
        <v>1</v>
      </c>
      <c r="L13" s="2" t="s">
        <v>4</v>
      </c>
      <c r="M13" s="4">
        <v>46045</v>
      </c>
      <c r="N13" s="30"/>
    </row>
    <row r="14" spans="2:14" ht="15.75" hidden="1" thickBot="1" x14ac:dyDescent="0.3">
      <c r="B14" s="28" t="str">
        <f t="shared" si="0"/>
        <v>MATRIZ DE CAMARAGIBE</v>
      </c>
      <c r="C14" s="67"/>
      <c r="D14" s="70"/>
      <c r="E14" s="70"/>
      <c r="F14" s="75"/>
      <c r="G14" s="73"/>
      <c r="H14" s="2" t="s">
        <v>27</v>
      </c>
      <c r="I14" s="2" t="s">
        <v>22</v>
      </c>
      <c r="J14" s="2" t="s">
        <v>42</v>
      </c>
      <c r="K14" s="10">
        <v>0</v>
      </c>
      <c r="L14" s="2" t="s">
        <v>2</v>
      </c>
      <c r="M14" s="4">
        <f>M13+7</f>
        <v>46052</v>
      </c>
      <c r="N14" s="30"/>
    </row>
    <row r="15" spans="2:14" ht="15.75" hidden="1" thickBot="1" x14ac:dyDescent="0.3">
      <c r="B15" s="28" t="str">
        <f t="shared" si="0"/>
        <v>MATRIZ DE CAMARAGIBE</v>
      </c>
      <c r="C15" s="67"/>
      <c r="D15" s="70"/>
      <c r="E15" s="70"/>
      <c r="F15" s="75"/>
      <c r="G15" s="73"/>
      <c r="H15" s="2" t="s">
        <v>27</v>
      </c>
      <c r="I15" s="2" t="s">
        <v>25</v>
      </c>
      <c r="J15" s="2" t="s">
        <v>43</v>
      </c>
      <c r="K15" s="10">
        <v>0</v>
      </c>
      <c r="L15" s="2" t="s">
        <v>2</v>
      </c>
      <c r="M15" s="4">
        <f>M20</f>
        <v>46094</v>
      </c>
      <c r="N15" s="32"/>
    </row>
    <row r="16" spans="2:14" ht="15.75" hidden="1" thickBot="1" x14ac:dyDescent="0.3">
      <c r="B16" s="28" t="str">
        <f t="shared" si="0"/>
        <v>MATRIZ DE CAMARAGIBE</v>
      </c>
      <c r="C16" s="67"/>
      <c r="D16" s="70"/>
      <c r="E16" s="70"/>
      <c r="F16" s="75"/>
      <c r="G16" s="73"/>
      <c r="H16" s="3" t="s">
        <v>28</v>
      </c>
      <c r="I16" s="3" t="s">
        <v>23</v>
      </c>
      <c r="J16" s="3" t="s">
        <v>50</v>
      </c>
      <c r="K16" s="11">
        <f>K6</f>
        <v>1</v>
      </c>
      <c r="L16" s="3" t="str">
        <f>L6</f>
        <v>Concluído</v>
      </c>
      <c r="M16" s="5">
        <f>M6</f>
        <v>46024</v>
      </c>
      <c r="N16" s="31" t="s">
        <v>18</v>
      </c>
    </row>
    <row r="17" spans="2:14" ht="15.75" hidden="1" thickBot="1" x14ac:dyDescent="0.3">
      <c r="B17" s="28" t="str">
        <f t="shared" si="0"/>
        <v>MATRIZ DE CAMARAGIBE</v>
      </c>
      <c r="C17" s="67"/>
      <c r="D17" s="70"/>
      <c r="E17" s="70"/>
      <c r="F17" s="75"/>
      <c r="G17" s="73"/>
      <c r="H17" s="3" t="s">
        <v>28</v>
      </c>
      <c r="I17" s="3" t="s">
        <v>22</v>
      </c>
      <c r="J17" s="3" t="s">
        <v>38</v>
      </c>
      <c r="K17" s="11">
        <f>K8</f>
        <v>1</v>
      </c>
      <c r="L17" s="3" t="str">
        <f>L8</f>
        <v>Concluído</v>
      </c>
      <c r="M17" s="5">
        <f>M8</f>
        <v>45975</v>
      </c>
      <c r="N17" s="29" t="s">
        <v>18</v>
      </c>
    </row>
    <row r="18" spans="2:14" ht="15.75" hidden="1" thickBot="1" x14ac:dyDescent="0.3">
      <c r="B18" s="28" t="str">
        <f t="shared" si="0"/>
        <v>MATRIZ DE CAMARAGIBE</v>
      </c>
      <c r="C18" s="67"/>
      <c r="D18" s="70"/>
      <c r="E18" s="70"/>
      <c r="F18" s="75"/>
      <c r="G18" s="73"/>
      <c r="H18" s="3" t="s">
        <v>28</v>
      </c>
      <c r="I18" s="3" t="s">
        <v>25</v>
      </c>
      <c r="J18" s="3" t="s">
        <v>41</v>
      </c>
      <c r="K18" s="11">
        <v>1</v>
      </c>
      <c r="L18" s="3" t="s">
        <v>2</v>
      </c>
      <c r="M18" s="5">
        <v>46052</v>
      </c>
      <c r="N18" s="31">
        <v>46087</v>
      </c>
    </row>
    <row r="19" spans="2:14" ht="15.75" hidden="1" thickBot="1" x14ac:dyDescent="0.3">
      <c r="B19" s="28" t="str">
        <f t="shared" si="0"/>
        <v>MATRIZ DE CAMARAGIBE</v>
      </c>
      <c r="C19" s="67"/>
      <c r="D19" s="70"/>
      <c r="E19" s="70"/>
      <c r="F19" s="75"/>
      <c r="G19" s="73"/>
      <c r="H19" s="3" t="s">
        <v>28</v>
      </c>
      <c r="I19" s="3" t="s">
        <v>22</v>
      </c>
      <c r="J19" s="3" t="s">
        <v>42</v>
      </c>
      <c r="K19" s="11">
        <v>0</v>
      </c>
      <c r="L19" s="3" t="s">
        <v>2</v>
      </c>
      <c r="M19" s="5">
        <f>M18+7</f>
        <v>46059</v>
      </c>
      <c r="N19" s="31">
        <f>N18+7</f>
        <v>46094</v>
      </c>
    </row>
    <row r="20" spans="2:14" ht="15.75" hidden="1" thickBot="1" x14ac:dyDescent="0.3">
      <c r="B20" s="28" t="str">
        <f t="shared" si="0"/>
        <v>MATRIZ DE CAMARAGIBE</v>
      </c>
      <c r="C20" s="67"/>
      <c r="D20" s="70"/>
      <c r="E20" s="70"/>
      <c r="F20" s="75"/>
      <c r="G20" s="73"/>
      <c r="H20" s="3" t="s">
        <v>28</v>
      </c>
      <c r="I20" s="3" t="s">
        <v>25</v>
      </c>
      <c r="J20" s="3" t="s">
        <v>43</v>
      </c>
      <c r="K20" s="11">
        <v>0</v>
      </c>
      <c r="L20" s="3" t="s">
        <v>2</v>
      </c>
      <c r="M20" s="5">
        <f>M25</f>
        <v>46094</v>
      </c>
      <c r="N20" s="31">
        <f>N25</f>
        <v>46115</v>
      </c>
    </row>
    <row r="21" spans="2:14" ht="15.75" hidden="1" thickBot="1" x14ac:dyDescent="0.3">
      <c r="B21" s="28" t="str">
        <f t="shared" si="0"/>
        <v>MATRIZ DE CAMARAGIBE</v>
      </c>
      <c r="C21" s="67"/>
      <c r="D21" s="70"/>
      <c r="E21" s="70"/>
      <c r="F21" s="75"/>
      <c r="G21" s="73"/>
      <c r="H21" s="2" t="s">
        <v>20</v>
      </c>
      <c r="I21" s="2" t="s">
        <v>23</v>
      </c>
      <c r="J21" s="2" t="s">
        <v>50</v>
      </c>
      <c r="K21" s="10">
        <f>K6</f>
        <v>1</v>
      </c>
      <c r="L21" s="2" t="str">
        <f>L6</f>
        <v>Concluído</v>
      </c>
      <c r="M21" s="4">
        <f>M6</f>
        <v>46024</v>
      </c>
      <c r="N21" s="30" t="s">
        <v>18</v>
      </c>
    </row>
    <row r="22" spans="2:14" ht="15.75" hidden="1" thickBot="1" x14ac:dyDescent="0.3">
      <c r="B22" s="28" t="str">
        <f t="shared" si="0"/>
        <v>MATRIZ DE CAMARAGIBE</v>
      </c>
      <c r="C22" s="67"/>
      <c r="D22" s="70"/>
      <c r="E22" s="70"/>
      <c r="F22" s="75"/>
      <c r="G22" s="73"/>
      <c r="H22" s="2" t="s">
        <v>20</v>
      </c>
      <c r="I22" s="2" t="s">
        <v>22</v>
      </c>
      <c r="J22" s="2" t="s">
        <v>38</v>
      </c>
      <c r="K22" s="10">
        <f>K8</f>
        <v>1</v>
      </c>
      <c r="L22" s="2" t="str">
        <f>L8</f>
        <v>Concluído</v>
      </c>
      <c r="M22" s="4">
        <f>M8</f>
        <v>45975</v>
      </c>
      <c r="N22" s="32" t="s">
        <v>18</v>
      </c>
    </row>
    <row r="23" spans="2:14" ht="15.75" hidden="1" thickBot="1" x14ac:dyDescent="0.3">
      <c r="B23" s="28" t="str">
        <f t="shared" si="0"/>
        <v>MATRIZ DE CAMARAGIBE</v>
      </c>
      <c r="C23" s="67"/>
      <c r="D23" s="70"/>
      <c r="E23" s="70"/>
      <c r="F23" s="75"/>
      <c r="G23" s="73"/>
      <c r="H23" s="2" t="s">
        <v>20</v>
      </c>
      <c r="I23" s="2" t="s">
        <v>25</v>
      </c>
      <c r="J23" s="2" t="s">
        <v>41</v>
      </c>
      <c r="K23" s="10">
        <v>0</v>
      </c>
      <c r="L23" s="2" t="s">
        <v>2</v>
      </c>
      <c r="M23" s="4">
        <f>M18+21</f>
        <v>46073</v>
      </c>
      <c r="N23" s="30">
        <v>46094</v>
      </c>
    </row>
    <row r="24" spans="2:14" ht="15.75" hidden="1" thickBot="1" x14ac:dyDescent="0.3">
      <c r="B24" s="28" t="str">
        <f t="shared" si="0"/>
        <v>MATRIZ DE CAMARAGIBE</v>
      </c>
      <c r="C24" s="67"/>
      <c r="D24" s="70"/>
      <c r="E24" s="70"/>
      <c r="F24" s="75"/>
      <c r="G24" s="73"/>
      <c r="H24" s="2" t="s">
        <v>20</v>
      </c>
      <c r="I24" s="2" t="s">
        <v>22</v>
      </c>
      <c r="J24" s="2" t="s">
        <v>42</v>
      </c>
      <c r="K24" s="10">
        <v>0</v>
      </c>
      <c r="L24" s="2" t="s">
        <v>2</v>
      </c>
      <c r="M24" s="4">
        <f>M23+14</f>
        <v>46087</v>
      </c>
      <c r="N24" s="30">
        <f>N23+14</f>
        <v>46108</v>
      </c>
    </row>
    <row r="25" spans="2:14" ht="15.75" hidden="1" thickBot="1" x14ac:dyDescent="0.3">
      <c r="B25" s="28" t="str">
        <f t="shared" si="0"/>
        <v>MATRIZ DE CAMARAGIBE</v>
      </c>
      <c r="C25" s="67"/>
      <c r="D25" s="70"/>
      <c r="E25" s="70"/>
      <c r="F25" s="75"/>
      <c r="G25" s="73"/>
      <c r="H25" s="2" t="s">
        <v>20</v>
      </c>
      <c r="I25" s="2" t="s">
        <v>25</v>
      </c>
      <c r="J25" s="2" t="s">
        <v>43</v>
      </c>
      <c r="K25" s="10">
        <v>0</v>
      </c>
      <c r="L25" s="2" t="s">
        <v>2</v>
      </c>
      <c r="M25" s="4">
        <f>M34</f>
        <v>46094</v>
      </c>
      <c r="N25" s="30">
        <f>N34</f>
        <v>46115</v>
      </c>
    </row>
    <row r="26" spans="2:14" ht="15.75" hidden="1" thickBot="1" x14ac:dyDescent="0.3">
      <c r="B26" s="28" t="str">
        <f t="shared" si="0"/>
        <v>MATRIZ DE CAMARAGIBE</v>
      </c>
      <c r="C26" s="67"/>
      <c r="D26" s="70"/>
      <c r="E26" s="70"/>
      <c r="F26" s="75"/>
      <c r="G26" s="73"/>
      <c r="H26" s="3" t="s">
        <v>30</v>
      </c>
      <c r="I26" s="3" t="s">
        <v>23</v>
      </c>
      <c r="J26" s="3" t="s">
        <v>50</v>
      </c>
      <c r="K26" s="11">
        <f>K6</f>
        <v>1</v>
      </c>
      <c r="L26" s="3" t="str">
        <f>L6</f>
        <v>Concluído</v>
      </c>
      <c r="M26" s="5">
        <f>M6</f>
        <v>46024</v>
      </c>
      <c r="N26" s="31" t="s">
        <v>18</v>
      </c>
    </row>
    <row r="27" spans="2:14" ht="15.75" hidden="1" thickBot="1" x14ac:dyDescent="0.3">
      <c r="B27" s="28" t="str">
        <f t="shared" si="0"/>
        <v>MATRIZ DE CAMARAGIBE</v>
      </c>
      <c r="C27" s="67"/>
      <c r="D27" s="70"/>
      <c r="E27" s="70"/>
      <c r="F27" s="75"/>
      <c r="G27" s="73"/>
      <c r="H27" s="3" t="s">
        <v>30</v>
      </c>
      <c r="I27" s="3" t="s">
        <v>22</v>
      </c>
      <c r="J27" s="3" t="s">
        <v>38</v>
      </c>
      <c r="K27" s="11">
        <f t="shared" ref="K27:M29" si="1">K8</f>
        <v>1</v>
      </c>
      <c r="L27" s="3" t="str">
        <f t="shared" si="1"/>
        <v>Concluído</v>
      </c>
      <c r="M27" s="5">
        <f t="shared" si="1"/>
        <v>45975</v>
      </c>
      <c r="N27" s="29" t="s">
        <v>18</v>
      </c>
    </row>
    <row r="28" spans="2:14" ht="15.75" hidden="1" thickBot="1" x14ac:dyDescent="0.3">
      <c r="B28" s="28" t="str">
        <f t="shared" si="0"/>
        <v>MATRIZ DE CAMARAGIBE</v>
      </c>
      <c r="C28" s="67"/>
      <c r="D28" s="70"/>
      <c r="E28" s="70"/>
      <c r="F28" s="75"/>
      <c r="G28" s="73"/>
      <c r="H28" s="3" t="s">
        <v>30</v>
      </c>
      <c r="I28" s="3" t="s">
        <v>25</v>
      </c>
      <c r="J28" s="3" t="s">
        <v>39</v>
      </c>
      <c r="K28" s="11">
        <f t="shared" si="1"/>
        <v>1</v>
      </c>
      <c r="L28" s="3" t="str">
        <f t="shared" si="1"/>
        <v>Concluído</v>
      </c>
      <c r="M28" s="5" t="str">
        <f t="shared" si="1"/>
        <v>-</v>
      </c>
      <c r="N28" s="29" t="s">
        <v>18</v>
      </c>
    </row>
    <row r="29" spans="2:14" ht="15.75" hidden="1" thickBot="1" x14ac:dyDescent="0.3">
      <c r="B29" s="28" t="str">
        <f t="shared" si="0"/>
        <v>MATRIZ DE CAMARAGIBE</v>
      </c>
      <c r="C29" s="67"/>
      <c r="D29" s="70"/>
      <c r="E29" s="70"/>
      <c r="F29" s="75"/>
      <c r="G29" s="73"/>
      <c r="H29" s="3" t="s">
        <v>30</v>
      </c>
      <c r="I29" s="3" t="s">
        <v>22</v>
      </c>
      <c r="J29" s="3" t="s">
        <v>40</v>
      </c>
      <c r="K29" s="11">
        <f t="shared" si="1"/>
        <v>1</v>
      </c>
      <c r="L29" s="3" t="str">
        <f t="shared" si="1"/>
        <v>Concluído</v>
      </c>
      <c r="M29" s="5">
        <f t="shared" si="1"/>
        <v>46003</v>
      </c>
      <c r="N29" s="31">
        <v>46056</v>
      </c>
    </row>
    <row r="30" spans="2:14" ht="15.75" hidden="1" thickBot="1" x14ac:dyDescent="0.3">
      <c r="B30" s="28" t="str">
        <f t="shared" si="0"/>
        <v>MATRIZ DE CAMARAGIBE</v>
      </c>
      <c r="C30" s="67"/>
      <c r="D30" s="70"/>
      <c r="E30" s="70"/>
      <c r="F30" s="75"/>
      <c r="G30" s="73"/>
      <c r="H30" s="3" t="s">
        <v>30</v>
      </c>
      <c r="I30" s="3" t="s">
        <v>25</v>
      </c>
      <c r="J30" s="3" t="s">
        <v>41</v>
      </c>
      <c r="K30" s="11">
        <v>0</v>
      </c>
      <c r="L30" s="3" t="s">
        <v>2</v>
      </c>
      <c r="M30" s="5">
        <f>M19+28</f>
        <v>46087</v>
      </c>
      <c r="N30" s="31">
        <f>N18+21</f>
        <v>46108</v>
      </c>
    </row>
    <row r="31" spans="2:14" ht="15.75" hidden="1" thickBot="1" x14ac:dyDescent="0.3">
      <c r="B31" s="28" t="str">
        <f t="shared" si="0"/>
        <v>MATRIZ DE CAMARAGIBE</v>
      </c>
      <c r="C31" s="67"/>
      <c r="D31" s="70"/>
      <c r="E31" s="70"/>
      <c r="F31" s="75"/>
      <c r="G31" s="73"/>
      <c r="H31" s="3" t="s">
        <v>30</v>
      </c>
      <c r="I31" s="3" t="s">
        <v>22</v>
      </c>
      <c r="J31" s="3" t="s">
        <v>42</v>
      </c>
      <c r="K31" s="11">
        <v>0</v>
      </c>
      <c r="L31" s="3" t="s">
        <v>2</v>
      </c>
      <c r="M31" s="5">
        <f>M30+7</f>
        <v>46094</v>
      </c>
      <c r="N31" s="31">
        <f>N30+7</f>
        <v>46115</v>
      </c>
    </row>
    <row r="32" spans="2:14" ht="15.75" hidden="1" thickBot="1" x14ac:dyDescent="0.3">
      <c r="B32" s="28" t="str">
        <f t="shared" si="0"/>
        <v>MATRIZ DE CAMARAGIBE</v>
      </c>
      <c r="C32" s="67"/>
      <c r="D32" s="70"/>
      <c r="E32" s="70"/>
      <c r="F32" s="75"/>
      <c r="G32" s="73"/>
      <c r="H32" s="3" t="s">
        <v>30</v>
      </c>
      <c r="I32" s="3" t="s">
        <v>25</v>
      </c>
      <c r="J32" s="3" t="s">
        <v>43</v>
      </c>
      <c r="K32" s="11">
        <v>0</v>
      </c>
      <c r="L32" s="3" t="s">
        <v>2</v>
      </c>
      <c r="M32" s="5">
        <f>M31+14</f>
        <v>46108</v>
      </c>
      <c r="N32" s="31">
        <f>N31+14</f>
        <v>46129</v>
      </c>
    </row>
    <row r="33" spans="2:14" ht="15.75" hidden="1" thickBot="1" x14ac:dyDescent="0.3">
      <c r="B33" s="28" t="str">
        <f t="shared" si="0"/>
        <v>MATRIZ DE CAMARAGIBE</v>
      </c>
      <c r="C33" s="67"/>
      <c r="D33" s="70"/>
      <c r="E33" s="70"/>
      <c r="F33" s="75"/>
      <c r="G33" s="73"/>
      <c r="H33" s="2" t="s">
        <v>29</v>
      </c>
      <c r="I33" s="2" t="s">
        <v>23</v>
      </c>
      <c r="J33" s="2" t="s">
        <v>46</v>
      </c>
      <c r="K33" s="10">
        <f>K6</f>
        <v>1</v>
      </c>
      <c r="L33" s="2" t="str">
        <f>L6</f>
        <v>Concluído</v>
      </c>
      <c r="M33" s="4">
        <f>M6</f>
        <v>46024</v>
      </c>
      <c r="N33" s="30" t="str">
        <f>N6</f>
        <v>-</v>
      </c>
    </row>
    <row r="34" spans="2:14" ht="15.75" hidden="1" thickBot="1" x14ac:dyDescent="0.3">
      <c r="B34" s="33" t="str">
        <f t="shared" si="0"/>
        <v>MATRIZ DE CAMARAGIBE</v>
      </c>
      <c r="C34" s="68"/>
      <c r="D34" s="71"/>
      <c r="E34" s="71"/>
      <c r="F34" s="76"/>
      <c r="G34" s="74"/>
      <c r="H34" s="34" t="s">
        <v>29</v>
      </c>
      <c r="I34" s="34" t="s">
        <v>25</v>
      </c>
      <c r="J34" s="34" t="s">
        <v>47</v>
      </c>
      <c r="K34" s="35">
        <v>0</v>
      </c>
      <c r="L34" s="34" t="s">
        <v>2</v>
      </c>
      <c r="M34" s="36">
        <f>M30+7</f>
        <v>46094</v>
      </c>
      <c r="N34" s="37">
        <f>N30+7</f>
        <v>46115</v>
      </c>
    </row>
    <row r="35" spans="2:14" ht="15.75" hidden="1" thickBot="1" x14ac:dyDescent="0.3">
      <c r="B35" s="38" t="str">
        <f t="shared" ref="B35:B45" si="2">$C$35</f>
        <v>CAPELA</v>
      </c>
      <c r="C35" s="60" t="s">
        <v>8</v>
      </c>
      <c r="D35" s="63">
        <v>45782</v>
      </c>
      <c r="E35" s="63">
        <v>45869</v>
      </c>
      <c r="F35" s="77" t="s">
        <v>4</v>
      </c>
      <c r="G35" s="63">
        <f>M65</f>
        <v>45975</v>
      </c>
      <c r="H35" s="39" t="s">
        <v>17</v>
      </c>
      <c r="I35" s="39" t="s">
        <v>22</v>
      </c>
      <c r="J35" s="39" t="s">
        <v>53</v>
      </c>
      <c r="K35" s="40">
        <v>1</v>
      </c>
      <c r="L35" s="39" t="s">
        <v>4</v>
      </c>
      <c r="M35" s="41" t="s">
        <v>18</v>
      </c>
      <c r="N35" s="42" t="s">
        <v>18</v>
      </c>
    </row>
    <row r="36" spans="2:14" ht="15.75" hidden="1" thickBot="1" x14ac:dyDescent="0.3">
      <c r="B36" s="43" t="str">
        <f t="shared" si="2"/>
        <v>CAPELA</v>
      </c>
      <c r="C36" s="61"/>
      <c r="D36" s="64"/>
      <c r="E36" s="64"/>
      <c r="F36" s="78"/>
      <c r="G36" s="64"/>
      <c r="H36" s="12" t="s">
        <v>24</v>
      </c>
      <c r="I36" s="12" t="s">
        <v>22</v>
      </c>
      <c r="J36" s="12" t="s">
        <v>54</v>
      </c>
      <c r="K36" s="13" t="s">
        <v>18</v>
      </c>
      <c r="L36" s="12" t="s">
        <v>3</v>
      </c>
      <c r="M36" s="14" t="s">
        <v>18</v>
      </c>
      <c r="N36" s="44" t="s">
        <v>18</v>
      </c>
    </row>
    <row r="37" spans="2:14" ht="15.75" hidden="1" thickBot="1" x14ac:dyDescent="0.3">
      <c r="B37" s="43" t="str">
        <f t="shared" si="2"/>
        <v>CAPELA</v>
      </c>
      <c r="C37" s="61"/>
      <c r="D37" s="64"/>
      <c r="E37" s="64"/>
      <c r="F37" s="78"/>
      <c r="G37" s="64"/>
      <c r="H37" s="15" t="s">
        <v>49</v>
      </c>
      <c r="I37" s="15" t="s">
        <v>23</v>
      </c>
      <c r="J37" s="15" t="s">
        <v>50</v>
      </c>
      <c r="K37" s="18">
        <v>1</v>
      </c>
      <c r="L37" s="15" t="s">
        <v>4</v>
      </c>
      <c r="M37" s="16">
        <v>45940</v>
      </c>
      <c r="N37" s="45">
        <v>45975</v>
      </c>
    </row>
    <row r="38" spans="2:14" ht="15.75" hidden="1" thickBot="1" x14ac:dyDescent="0.3">
      <c r="B38" s="43" t="str">
        <f t="shared" si="2"/>
        <v>CAPELA</v>
      </c>
      <c r="C38" s="61"/>
      <c r="D38" s="64"/>
      <c r="E38" s="64"/>
      <c r="F38" s="78"/>
      <c r="G38" s="64"/>
      <c r="H38" s="12" t="s">
        <v>1</v>
      </c>
      <c r="I38" s="12" t="s">
        <v>22</v>
      </c>
      <c r="J38" s="12" t="s">
        <v>52</v>
      </c>
      <c r="K38" s="13">
        <v>1</v>
      </c>
      <c r="L38" s="12" t="s">
        <v>4</v>
      </c>
      <c r="M38" s="14" t="s">
        <v>18</v>
      </c>
      <c r="N38" s="46"/>
    </row>
    <row r="39" spans="2:14" ht="15.75" hidden="1" thickBot="1" x14ac:dyDescent="0.3">
      <c r="B39" s="43" t="str">
        <f t="shared" si="2"/>
        <v>CAPELA</v>
      </c>
      <c r="C39" s="61"/>
      <c r="D39" s="64"/>
      <c r="E39" s="64"/>
      <c r="F39" s="78"/>
      <c r="G39" s="64"/>
      <c r="H39" s="15" t="s">
        <v>16</v>
      </c>
      <c r="I39" s="15" t="s">
        <v>22</v>
      </c>
      <c r="J39" s="15" t="s">
        <v>38</v>
      </c>
      <c r="K39" s="18">
        <v>1</v>
      </c>
      <c r="L39" s="15" t="s">
        <v>4</v>
      </c>
      <c r="M39" s="16">
        <v>45933</v>
      </c>
      <c r="N39" s="47"/>
    </row>
    <row r="40" spans="2:14" ht="15.75" hidden="1" thickBot="1" x14ac:dyDescent="0.3">
      <c r="B40" s="43" t="str">
        <f t="shared" si="2"/>
        <v>CAPELA</v>
      </c>
      <c r="C40" s="61"/>
      <c r="D40" s="64"/>
      <c r="E40" s="64"/>
      <c r="F40" s="78"/>
      <c r="G40" s="64"/>
      <c r="H40" s="12" t="s">
        <v>19</v>
      </c>
      <c r="I40" s="12" t="s">
        <v>25</v>
      </c>
      <c r="J40" s="12" t="s">
        <v>39</v>
      </c>
      <c r="K40" s="13">
        <v>1</v>
      </c>
      <c r="L40" s="12" t="s">
        <v>4</v>
      </c>
      <c r="M40" s="14" t="s">
        <v>18</v>
      </c>
      <c r="N40" s="44"/>
    </row>
    <row r="41" spans="2:14" ht="15.75" hidden="1" thickBot="1" x14ac:dyDescent="0.3">
      <c r="B41" s="43" t="str">
        <f t="shared" si="2"/>
        <v>CAPELA</v>
      </c>
      <c r="C41" s="61"/>
      <c r="D41" s="64"/>
      <c r="E41" s="64"/>
      <c r="F41" s="78"/>
      <c r="G41" s="64"/>
      <c r="H41" s="12" t="s">
        <v>19</v>
      </c>
      <c r="I41" s="12" t="s">
        <v>22</v>
      </c>
      <c r="J41" s="12" t="s">
        <v>40</v>
      </c>
      <c r="K41" s="13">
        <v>1</v>
      </c>
      <c r="L41" s="12" t="s">
        <v>4</v>
      </c>
      <c r="M41" s="14">
        <v>45926</v>
      </c>
      <c r="N41" s="46">
        <v>45945</v>
      </c>
    </row>
    <row r="42" spans="2:14" ht="15.75" hidden="1" thickBot="1" x14ac:dyDescent="0.3">
      <c r="B42" s="43" t="str">
        <f t="shared" si="2"/>
        <v>CAPELA</v>
      </c>
      <c r="C42" s="61"/>
      <c r="D42" s="64"/>
      <c r="E42" s="64"/>
      <c r="F42" s="78"/>
      <c r="G42" s="64"/>
      <c r="H42" s="15" t="s">
        <v>27</v>
      </c>
      <c r="I42" s="15" t="s">
        <v>23</v>
      </c>
      <c r="J42" s="15" t="s">
        <v>50</v>
      </c>
      <c r="K42" s="18">
        <f>K37</f>
        <v>1</v>
      </c>
      <c r="L42" s="15" t="str">
        <f>L37</f>
        <v>Concluído</v>
      </c>
      <c r="M42" s="16">
        <f>M37</f>
        <v>45940</v>
      </c>
      <c r="N42" s="45">
        <v>45975</v>
      </c>
    </row>
    <row r="43" spans="2:14" ht="15.75" hidden="1" thickBot="1" x14ac:dyDescent="0.3">
      <c r="B43" s="43" t="str">
        <f t="shared" si="2"/>
        <v>CAPELA</v>
      </c>
      <c r="C43" s="61"/>
      <c r="D43" s="64"/>
      <c r="E43" s="64"/>
      <c r="F43" s="78"/>
      <c r="G43" s="64"/>
      <c r="H43" s="15" t="s">
        <v>27</v>
      </c>
      <c r="I43" s="15" t="s">
        <v>22</v>
      </c>
      <c r="J43" s="15" t="s">
        <v>38</v>
      </c>
      <c r="K43" s="18">
        <f>K39</f>
        <v>1</v>
      </c>
      <c r="L43" s="15" t="str">
        <f>L39</f>
        <v>Concluído</v>
      </c>
      <c r="M43" s="16">
        <f>M39</f>
        <v>45933</v>
      </c>
      <c r="N43" s="47"/>
    </row>
    <row r="44" spans="2:14" ht="15.75" hidden="1" thickBot="1" x14ac:dyDescent="0.3">
      <c r="B44" s="43" t="str">
        <f t="shared" si="2"/>
        <v>CAPELA</v>
      </c>
      <c r="C44" s="61"/>
      <c r="D44" s="64"/>
      <c r="E44" s="64"/>
      <c r="F44" s="78"/>
      <c r="G44" s="64"/>
      <c r="H44" s="15" t="s">
        <v>27</v>
      </c>
      <c r="I44" s="15" t="s">
        <v>25</v>
      </c>
      <c r="J44" s="15" t="s">
        <v>41</v>
      </c>
      <c r="K44" s="18">
        <v>1</v>
      </c>
      <c r="L44" s="15" t="s">
        <v>4</v>
      </c>
      <c r="M44" s="16">
        <v>45947</v>
      </c>
      <c r="N44" s="45">
        <v>45975</v>
      </c>
    </row>
    <row r="45" spans="2:14" ht="15.75" hidden="1" thickBot="1" x14ac:dyDescent="0.3">
      <c r="B45" s="43" t="str">
        <f t="shared" si="2"/>
        <v>CAPELA</v>
      </c>
      <c r="C45" s="61"/>
      <c r="D45" s="64"/>
      <c r="E45" s="64"/>
      <c r="F45" s="78"/>
      <c r="G45" s="64"/>
      <c r="H45" s="15" t="s">
        <v>27</v>
      </c>
      <c r="I45" s="15" t="s">
        <v>22</v>
      </c>
      <c r="J45" s="15" t="s">
        <v>42</v>
      </c>
      <c r="K45" s="18">
        <v>0</v>
      </c>
      <c r="L45" s="15" t="s">
        <v>2</v>
      </c>
      <c r="M45" s="16">
        <f>M44+7</f>
        <v>45954</v>
      </c>
      <c r="N45" s="45"/>
    </row>
    <row r="46" spans="2:14" ht="15.75" hidden="1" thickBot="1" x14ac:dyDescent="0.3">
      <c r="B46" s="43" t="str">
        <f t="shared" ref="B46:B61" si="3">$C$35</f>
        <v>CAPELA</v>
      </c>
      <c r="C46" s="61"/>
      <c r="D46" s="64"/>
      <c r="E46" s="64"/>
      <c r="F46" s="78"/>
      <c r="G46" s="64"/>
      <c r="H46" s="15" t="s">
        <v>27</v>
      </c>
      <c r="I46" s="15" t="s">
        <v>25</v>
      </c>
      <c r="J46" s="15" t="s">
        <v>43</v>
      </c>
      <c r="K46" s="18">
        <v>0</v>
      </c>
      <c r="L46" s="15" t="s">
        <v>2</v>
      </c>
      <c r="M46" s="16">
        <f>M51</f>
        <v>45975</v>
      </c>
      <c r="N46" s="47"/>
    </row>
    <row r="47" spans="2:14" ht="15.75" hidden="1" thickBot="1" x14ac:dyDescent="0.3">
      <c r="B47" s="43" t="str">
        <f t="shared" si="3"/>
        <v>CAPELA</v>
      </c>
      <c r="C47" s="61"/>
      <c r="D47" s="64"/>
      <c r="E47" s="64"/>
      <c r="F47" s="78"/>
      <c r="G47" s="64"/>
      <c r="H47" s="12" t="s">
        <v>28</v>
      </c>
      <c r="I47" s="12" t="s">
        <v>23</v>
      </c>
      <c r="J47" s="12" t="s">
        <v>50</v>
      </c>
      <c r="K47" s="13">
        <f>K37</f>
        <v>1</v>
      </c>
      <c r="L47" s="13" t="str">
        <f>L37</f>
        <v>Concluído</v>
      </c>
      <c r="M47" s="19">
        <f>M37</f>
        <v>45940</v>
      </c>
      <c r="N47" s="48">
        <v>45975</v>
      </c>
    </row>
    <row r="48" spans="2:14" ht="15.75" hidden="1" thickBot="1" x14ac:dyDescent="0.3">
      <c r="B48" s="43" t="str">
        <f t="shared" si="3"/>
        <v>CAPELA</v>
      </c>
      <c r="C48" s="61"/>
      <c r="D48" s="64"/>
      <c r="E48" s="64"/>
      <c r="F48" s="78"/>
      <c r="G48" s="64"/>
      <c r="H48" s="12" t="s">
        <v>28</v>
      </c>
      <c r="I48" s="12" t="s">
        <v>22</v>
      </c>
      <c r="J48" s="12" t="s">
        <v>38</v>
      </c>
      <c r="K48" s="13">
        <f>K39</f>
        <v>1</v>
      </c>
      <c r="L48" s="13" t="str">
        <f>L39</f>
        <v>Concluído</v>
      </c>
      <c r="M48" s="19">
        <f>M39</f>
        <v>45933</v>
      </c>
      <c r="N48" s="48"/>
    </row>
    <row r="49" spans="2:14" ht="15.75" hidden="1" thickBot="1" x14ac:dyDescent="0.3">
      <c r="B49" s="43" t="str">
        <f t="shared" si="3"/>
        <v>CAPELA</v>
      </c>
      <c r="C49" s="61"/>
      <c r="D49" s="64"/>
      <c r="E49" s="64"/>
      <c r="F49" s="78"/>
      <c r="G49" s="64"/>
      <c r="H49" s="12" t="s">
        <v>28</v>
      </c>
      <c r="I49" s="12" t="s">
        <v>25</v>
      </c>
      <c r="J49" s="12" t="s">
        <v>41</v>
      </c>
      <c r="K49" s="13">
        <v>1</v>
      </c>
      <c r="L49" s="12" t="s">
        <v>4</v>
      </c>
      <c r="M49" s="14">
        <f>M47+7</f>
        <v>45947</v>
      </c>
      <c r="N49" s="46">
        <v>45975</v>
      </c>
    </row>
    <row r="50" spans="2:14" ht="15.75" hidden="1" thickBot="1" x14ac:dyDescent="0.3">
      <c r="B50" s="43" t="str">
        <f t="shared" si="3"/>
        <v>CAPELA</v>
      </c>
      <c r="C50" s="61"/>
      <c r="D50" s="64"/>
      <c r="E50" s="64"/>
      <c r="F50" s="78"/>
      <c r="G50" s="64"/>
      <c r="H50" s="12" t="s">
        <v>28</v>
      </c>
      <c r="I50" s="12" t="s">
        <v>22</v>
      </c>
      <c r="J50" s="12" t="s">
        <v>42</v>
      </c>
      <c r="K50" s="13">
        <v>0</v>
      </c>
      <c r="L50" s="12" t="s">
        <v>2</v>
      </c>
      <c r="M50" s="14">
        <f>M49+7</f>
        <v>45954</v>
      </c>
      <c r="N50" s="46"/>
    </row>
    <row r="51" spans="2:14" ht="15.75" hidden="1" thickBot="1" x14ac:dyDescent="0.3">
      <c r="B51" s="43" t="str">
        <f t="shared" si="3"/>
        <v>CAPELA</v>
      </c>
      <c r="C51" s="61"/>
      <c r="D51" s="64"/>
      <c r="E51" s="64"/>
      <c r="F51" s="78"/>
      <c r="G51" s="64"/>
      <c r="H51" s="12" t="s">
        <v>28</v>
      </c>
      <c r="I51" s="12" t="s">
        <v>25</v>
      </c>
      <c r="J51" s="12" t="s">
        <v>43</v>
      </c>
      <c r="K51" s="13">
        <v>0</v>
      </c>
      <c r="L51" s="12" t="s">
        <v>2</v>
      </c>
      <c r="M51" s="14">
        <f>M56</f>
        <v>45975</v>
      </c>
      <c r="N51" s="44"/>
    </row>
    <row r="52" spans="2:14" ht="15.75" hidden="1" thickBot="1" x14ac:dyDescent="0.3">
      <c r="B52" s="43" t="str">
        <f t="shared" si="3"/>
        <v>CAPELA</v>
      </c>
      <c r="C52" s="61"/>
      <c r="D52" s="64"/>
      <c r="E52" s="64"/>
      <c r="F52" s="78"/>
      <c r="G52" s="64"/>
      <c r="H52" s="15" t="s">
        <v>20</v>
      </c>
      <c r="I52" s="15" t="s">
        <v>23</v>
      </c>
      <c r="J52" s="15" t="s">
        <v>50</v>
      </c>
      <c r="K52" s="18">
        <f>K37</f>
        <v>1</v>
      </c>
      <c r="L52" s="15" t="str">
        <f>L37</f>
        <v>Concluído</v>
      </c>
      <c r="M52" s="16">
        <f>M37</f>
        <v>45940</v>
      </c>
      <c r="N52" s="45">
        <v>45975</v>
      </c>
    </row>
    <row r="53" spans="2:14" ht="15.75" hidden="1" thickBot="1" x14ac:dyDescent="0.3">
      <c r="B53" s="43" t="str">
        <f t="shared" si="3"/>
        <v>CAPELA</v>
      </c>
      <c r="C53" s="61"/>
      <c r="D53" s="64"/>
      <c r="E53" s="64"/>
      <c r="F53" s="78"/>
      <c r="G53" s="64"/>
      <c r="H53" s="15" t="s">
        <v>20</v>
      </c>
      <c r="I53" s="15" t="s">
        <v>22</v>
      </c>
      <c r="J53" s="15" t="s">
        <v>38</v>
      </c>
      <c r="K53" s="18">
        <f>K39</f>
        <v>1</v>
      </c>
      <c r="L53" s="15" t="str">
        <f>L39</f>
        <v>Concluído</v>
      </c>
      <c r="M53" s="16">
        <f>M39</f>
        <v>45933</v>
      </c>
      <c r="N53" s="47"/>
    </row>
    <row r="54" spans="2:14" ht="15.75" hidden="1" thickBot="1" x14ac:dyDescent="0.3">
      <c r="B54" s="43" t="str">
        <f t="shared" si="3"/>
        <v>CAPELA</v>
      </c>
      <c r="C54" s="61"/>
      <c r="D54" s="64"/>
      <c r="E54" s="64"/>
      <c r="F54" s="78"/>
      <c r="G54" s="64"/>
      <c r="H54" s="15" t="s">
        <v>20</v>
      </c>
      <c r="I54" s="15" t="s">
        <v>25</v>
      </c>
      <c r="J54" s="15" t="s">
        <v>41</v>
      </c>
      <c r="K54" s="18">
        <v>1</v>
      </c>
      <c r="L54" s="15" t="s">
        <v>4</v>
      </c>
      <c r="M54" s="16">
        <f>M49+7</f>
        <v>45954</v>
      </c>
      <c r="N54" s="45">
        <v>45975</v>
      </c>
    </row>
    <row r="55" spans="2:14" ht="15.75" hidden="1" thickBot="1" x14ac:dyDescent="0.3">
      <c r="B55" s="43" t="str">
        <f t="shared" si="3"/>
        <v>CAPELA</v>
      </c>
      <c r="C55" s="61"/>
      <c r="D55" s="64"/>
      <c r="E55" s="64"/>
      <c r="F55" s="78"/>
      <c r="G55" s="64"/>
      <c r="H55" s="15" t="s">
        <v>20</v>
      </c>
      <c r="I55" s="15" t="s">
        <v>22</v>
      </c>
      <c r="J55" s="15" t="s">
        <v>42</v>
      </c>
      <c r="K55" s="18">
        <v>0</v>
      </c>
      <c r="L55" s="15" t="s">
        <v>2</v>
      </c>
      <c r="M55" s="16">
        <f>M54+14</f>
        <v>45968</v>
      </c>
      <c r="N55" s="45"/>
    </row>
    <row r="56" spans="2:14" ht="15.75" hidden="1" thickBot="1" x14ac:dyDescent="0.3">
      <c r="B56" s="43" t="str">
        <f t="shared" si="3"/>
        <v>CAPELA</v>
      </c>
      <c r="C56" s="61"/>
      <c r="D56" s="64"/>
      <c r="E56" s="64"/>
      <c r="F56" s="78"/>
      <c r="G56" s="64"/>
      <c r="H56" s="15" t="s">
        <v>20</v>
      </c>
      <c r="I56" s="15" t="s">
        <v>25</v>
      </c>
      <c r="J56" s="15" t="s">
        <v>43</v>
      </c>
      <c r="K56" s="18">
        <v>0</v>
      </c>
      <c r="L56" s="15" t="s">
        <v>2</v>
      </c>
      <c r="M56" s="16">
        <f>M65</f>
        <v>45975</v>
      </c>
      <c r="N56" s="47"/>
    </row>
    <row r="57" spans="2:14" ht="15.75" hidden="1" thickBot="1" x14ac:dyDescent="0.3">
      <c r="B57" s="43" t="str">
        <f t="shared" si="3"/>
        <v>CAPELA</v>
      </c>
      <c r="C57" s="61"/>
      <c r="D57" s="64"/>
      <c r="E57" s="64"/>
      <c r="F57" s="78"/>
      <c r="G57" s="64"/>
      <c r="H57" s="12" t="s">
        <v>30</v>
      </c>
      <c r="I57" s="12" t="s">
        <v>23</v>
      </c>
      <c r="J57" s="12" t="s">
        <v>50</v>
      </c>
      <c r="K57" s="13">
        <f>K37</f>
        <v>1</v>
      </c>
      <c r="L57" s="12" t="str">
        <f>L37</f>
        <v>Concluído</v>
      </c>
      <c r="M57" s="14">
        <f>M37</f>
        <v>45940</v>
      </c>
      <c r="N57" s="46">
        <v>45975</v>
      </c>
    </row>
    <row r="58" spans="2:14" ht="15.75" hidden="1" thickBot="1" x14ac:dyDescent="0.3">
      <c r="B58" s="43" t="str">
        <f t="shared" si="3"/>
        <v>CAPELA</v>
      </c>
      <c r="C58" s="61"/>
      <c r="D58" s="64"/>
      <c r="E58" s="64"/>
      <c r="F58" s="78"/>
      <c r="G58" s="64"/>
      <c r="H58" s="12" t="s">
        <v>30</v>
      </c>
      <c r="I58" s="12" t="s">
        <v>22</v>
      </c>
      <c r="J58" s="12" t="s">
        <v>38</v>
      </c>
      <c r="K58" s="13">
        <f t="shared" ref="K58:M60" si="4">K39</f>
        <v>1</v>
      </c>
      <c r="L58" s="12" t="str">
        <f t="shared" si="4"/>
        <v>Concluído</v>
      </c>
      <c r="M58" s="14">
        <f t="shared" si="4"/>
        <v>45933</v>
      </c>
      <c r="N58" s="44"/>
    </row>
    <row r="59" spans="2:14" ht="15.75" hidden="1" thickBot="1" x14ac:dyDescent="0.3">
      <c r="B59" s="43" t="str">
        <f t="shared" si="3"/>
        <v>CAPELA</v>
      </c>
      <c r="C59" s="61"/>
      <c r="D59" s="64"/>
      <c r="E59" s="64"/>
      <c r="F59" s="78"/>
      <c r="G59" s="64"/>
      <c r="H59" s="12" t="s">
        <v>30</v>
      </c>
      <c r="I59" s="12" t="s">
        <v>25</v>
      </c>
      <c r="J59" s="12" t="s">
        <v>39</v>
      </c>
      <c r="K59" s="13">
        <f t="shared" si="4"/>
        <v>1</v>
      </c>
      <c r="L59" s="12" t="str">
        <f t="shared" si="4"/>
        <v>Concluído</v>
      </c>
      <c r="M59" s="14" t="str">
        <f t="shared" si="4"/>
        <v>-</v>
      </c>
      <c r="N59" s="44"/>
    </row>
    <row r="60" spans="2:14" ht="15.75" hidden="1" thickBot="1" x14ac:dyDescent="0.3">
      <c r="B60" s="43" t="str">
        <f t="shared" si="3"/>
        <v>CAPELA</v>
      </c>
      <c r="C60" s="61"/>
      <c r="D60" s="64"/>
      <c r="E60" s="64"/>
      <c r="F60" s="78"/>
      <c r="G60" s="64"/>
      <c r="H60" s="12" t="s">
        <v>30</v>
      </c>
      <c r="I60" s="12" t="s">
        <v>22</v>
      </c>
      <c r="J60" s="12" t="s">
        <v>40</v>
      </c>
      <c r="K60" s="13">
        <f t="shared" si="4"/>
        <v>1</v>
      </c>
      <c r="L60" s="12" t="str">
        <f t="shared" si="4"/>
        <v>Concluído</v>
      </c>
      <c r="M60" s="14">
        <f t="shared" si="4"/>
        <v>45926</v>
      </c>
      <c r="N60" s="46">
        <f>N41</f>
        <v>45945</v>
      </c>
    </row>
    <row r="61" spans="2:14" ht="15.75" hidden="1" thickBot="1" x14ac:dyDescent="0.3">
      <c r="B61" s="43" t="str">
        <f t="shared" si="3"/>
        <v>CAPELA</v>
      </c>
      <c r="C61" s="61"/>
      <c r="D61" s="64"/>
      <c r="E61" s="64"/>
      <c r="F61" s="78"/>
      <c r="G61" s="64"/>
      <c r="H61" s="12" t="s">
        <v>30</v>
      </c>
      <c r="I61" s="12" t="s">
        <v>25</v>
      </c>
      <c r="J61" s="12" t="s">
        <v>41</v>
      </c>
      <c r="K61" s="13">
        <v>1</v>
      </c>
      <c r="L61" s="12" t="s">
        <v>4</v>
      </c>
      <c r="M61" s="14">
        <f>N60+23</f>
        <v>45968</v>
      </c>
      <c r="N61" s="46">
        <v>45975</v>
      </c>
    </row>
    <row r="62" spans="2:14" ht="15.75" hidden="1" thickBot="1" x14ac:dyDescent="0.3">
      <c r="B62" s="43" t="str">
        <f>$C$35</f>
        <v>CAPELA</v>
      </c>
      <c r="C62" s="61"/>
      <c r="D62" s="64"/>
      <c r="E62" s="64"/>
      <c r="F62" s="78"/>
      <c r="G62" s="64"/>
      <c r="H62" s="12" t="s">
        <v>30</v>
      </c>
      <c r="I62" s="12" t="s">
        <v>22</v>
      </c>
      <c r="J62" s="12" t="s">
        <v>42</v>
      </c>
      <c r="K62" s="13">
        <v>0</v>
      </c>
      <c r="L62" s="12" t="s">
        <v>2</v>
      </c>
      <c r="M62" s="14">
        <f>M61+7</f>
        <v>45975</v>
      </c>
      <c r="N62" s="46"/>
    </row>
    <row r="63" spans="2:14" ht="15.75" hidden="1" thickBot="1" x14ac:dyDescent="0.3">
      <c r="B63" s="43" t="str">
        <f>$C$35</f>
        <v>CAPELA</v>
      </c>
      <c r="C63" s="61"/>
      <c r="D63" s="64"/>
      <c r="E63" s="64"/>
      <c r="F63" s="78"/>
      <c r="G63" s="64"/>
      <c r="H63" s="12" t="s">
        <v>30</v>
      </c>
      <c r="I63" s="12" t="s">
        <v>25</v>
      </c>
      <c r="J63" s="12" t="s">
        <v>43</v>
      </c>
      <c r="K63" s="13">
        <v>0</v>
      </c>
      <c r="L63" s="12" t="s">
        <v>2</v>
      </c>
      <c r="M63" s="14">
        <f>M62+14</f>
        <v>45989</v>
      </c>
      <c r="N63" s="44"/>
    </row>
    <row r="64" spans="2:14" ht="15.75" hidden="1" thickBot="1" x14ac:dyDescent="0.3">
      <c r="B64" s="43" t="str">
        <f>$C$35</f>
        <v>CAPELA</v>
      </c>
      <c r="C64" s="61"/>
      <c r="D64" s="64"/>
      <c r="E64" s="64"/>
      <c r="F64" s="78"/>
      <c r="G64" s="64"/>
      <c r="H64" s="15" t="s">
        <v>29</v>
      </c>
      <c r="I64" s="15" t="s">
        <v>23</v>
      </c>
      <c r="J64" s="15" t="s">
        <v>46</v>
      </c>
      <c r="K64" s="18">
        <f>K37</f>
        <v>1</v>
      </c>
      <c r="L64" s="15" t="str">
        <f>L37</f>
        <v>Concluído</v>
      </c>
      <c r="M64" s="16">
        <f>M37</f>
        <v>45940</v>
      </c>
      <c r="N64" s="45">
        <v>45975</v>
      </c>
    </row>
    <row r="65" spans="2:14" ht="15.75" hidden="1" thickBot="1" x14ac:dyDescent="0.3">
      <c r="B65" s="49" t="str">
        <f t="shared" ref="B65" si="5">$C$35</f>
        <v>CAPELA</v>
      </c>
      <c r="C65" s="62"/>
      <c r="D65" s="65"/>
      <c r="E65" s="65"/>
      <c r="F65" s="79"/>
      <c r="G65" s="65"/>
      <c r="H65" s="50" t="s">
        <v>29</v>
      </c>
      <c r="I65" s="50" t="s">
        <v>25</v>
      </c>
      <c r="J65" s="50" t="s">
        <v>47</v>
      </c>
      <c r="K65" s="51">
        <v>0.9</v>
      </c>
      <c r="L65" s="50" t="s">
        <v>2</v>
      </c>
      <c r="M65" s="52">
        <f>M61+7</f>
        <v>45975</v>
      </c>
      <c r="N65" s="53"/>
    </row>
    <row r="66" spans="2:14" ht="15.75" hidden="1" thickBot="1" x14ac:dyDescent="0.3">
      <c r="B66" s="54" t="str">
        <f>$C$66</f>
        <v>MAR VERMELHO</v>
      </c>
      <c r="C66" s="66" t="s">
        <v>9</v>
      </c>
      <c r="D66" s="69">
        <v>45782</v>
      </c>
      <c r="E66" s="69">
        <v>45912</v>
      </c>
      <c r="F66" s="72" t="s">
        <v>4</v>
      </c>
      <c r="G66" s="69">
        <f>M96</f>
        <v>45961</v>
      </c>
      <c r="H66" s="24" t="s">
        <v>17</v>
      </c>
      <c r="I66" s="24" t="s">
        <v>22</v>
      </c>
      <c r="J66" s="24" t="s">
        <v>53</v>
      </c>
      <c r="K66" s="25">
        <v>1</v>
      </c>
      <c r="L66" s="24" t="s">
        <v>4</v>
      </c>
      <c r="M66" s="26" t="s">
        <v>18</v>
      </c>
      <c r="N66" s="27" t="s">
        <v>18</v>
      </c>
    </row>
    <row r="67" spans="2:14" ht="15.75" hidden="1" thickBot="1" x14ac:dyDescent="0.3">
      <c r="B67" s="55" t="str">
        <f t="shared" ref="B67:B96" si="6">$C$66</f>
        <v>MAR VERMELHO</v>
      </c>
      <c r="C67" s="67"/>
      <c r="D67" s="70"/>
      <c r="E67" s="70"/>
      <c r="F67" s="73"/>
      <c r="G67" s="70"/>
      <c r="H67" s="3" t="s">
        <v>24</v>
      </c>
      <c r="I67" s="3" t="s">
        <v>22</v>
      </c>
      <c r="J67" s="3" t="s">
        <v>54</v>
      </c>
      <c r="K67" s="11">
        <v>1</v>
      </c>
      <c r="L67" s="3" t="s">
        <v>4</v>
      </c>
      <c r="M67" s="5">
        <v>45919</v>
      </c>
      <c r="N67" s="29"/>
    </row>
    <row r="68" spans="2:14" ht="15.75" hidden="1" thickBot="1" x14ac:dyDescent="0.3">
      <c r="B68" s="55" t="str">
        <f t="shared" si="6"/>
        <v>MAR VERMELHO</v>
      </c>
      <c r="C68" s="67"/>
      <c r="D68" s="70"/>
      <c r="E68" s="70"/>
      <c r="F68" s="73"/>
      <c r="G68" s="70"/>
      <c r="H68" s="2" t="s">
        <v>49</v>
      </c>
      <c r="I68" s="2" t="s">
        <v>18</v>
      </c>
      <c r="J68" s="2" t="s">
        <v>18</v>
      </c>
      <c r="K68" s="10" t="s">
        <v>18</v>
      </c>
      <c r="L68" s="2" t="s">
        <v>18</v>
      </c>
      <c r="M68" s="4" t="s">
        <v>18</v>
      </c>
      <c r="N68" s="30" t="s">
        <v>18</v>
      </c>
    </row>
    <row r="69" spans="2:14" ht="15.75" hidden="1" thickBot="1" x14ac:dyDescent="0.3">
      <c r="B69" s="55" t="str">
        <f t="shared" si="6"/>
        <v>MAR VERMELHO</v>
      </c>
      <c r="C69" s="67"/>
      <c r="D69" s="70"/>
      <c r="E69" s="70"/>
      <c r="F69" s="73"/>
      <c r="G69" s="70"/>
      <c r="H69" s="3" t="s">
        <v>1</v>
      </c>
      <c r="I69" s="3" t="s">
        <v>22</v>
      </c>
      <c r="J69" s="3" t="s">
        <v>52</v>
      </c>
      <c r="K69" s="11">
        <v>1</v>
      </c>
      <c r="L69" s="3" t="s">
        <v>4</v>
      </c>
      <c r="M69" s="5" t="s">
        <v>18</v>
      </c>
      <c r="N69" s="31" t="s">
        <v>18</v>
      </c>
    </row>
    <row r="70" spans="2:14" ht="15.75" hidden="1" thickBot="1" x14ac:dyDescent="0.3">
      <c r="B70" s="55" t="str">
        <f t="shared" si="6"/>
        <v>MAR VERMELHO</v>
      </c>
      <c r="C70" s="67"/>
      <c r="D70" s="70"/>
      <c r="E70" s="70"/>
      <c r="F70" s="73"/>
      <c r="G70" s="70"/>
      <c r="H70" s="2" t="s">
        <v>16</v>
      </c>
      <c r="I70" s="2" t="s">
        <v>22</v>
      </c>
      <c r="J70" s="2" t="s">
        <v>38</v>
      </c>
      <c r="K70" s="10">
        <v>1</v>
      </c>
      <c r="L70" s="2" t="s">
        <v>4</v>
      </c>
      <c r="M70" s="4">
        <v>45926</v>
      </c>
      <c r="N70" s="30"/>
    </row>
    <row r="71" spans="2:14" ht="15.75" hidden="1" thickBot="1" x14ac:dyDescent="0.3">
      <c r="B71" s="55" t="str">
        <f t="shared" si="6"/>
        <v>MAR VERMELHO</v>
      </c>
      <c r="C71" s="67"/>
      <c r="D71" s="70"/>
      <c r="E71" s="70"/>
      <c r="F71" s="73"/>
      <c r="G71" s="70"/>
      <c r="H71" s="3" t="s">
        <v>19</v>
      </c>
      <c r="I71" s="3" t="s">
        <v>25</v>
      </c>
      <c r="J71" s="3" t="s">
        <v>39</v>
      </c>
      <c r="K71" s="11">
        <v>1</v>
      </c>
      <c r="L71" s="3" t="s">
        <v>4</v>
      </c>
      <c r="M71" s="5" t="s">
        <v>18</v>
      </c>
      <c r="N71" s="29"/>
    </row>
    <row r="72" spans="2:14" ht="15.75" hidden="1" thickBot="1" x14ac:dyDescent="0.3">
      <c r="B72" s="55" t="str">
        <f t="shared" si="6"/>
        <v>MAR VERMELHO</v>
      </c>
      <c r="C72" s="67"/>
      <c r="D72" s="70"/>
      <c r="E72" s="70"/>
      <c r="F72" s="73"/>
      <c r="G72" s="70"/>
      <c r="H72" s="3" t="s">
        <v>19</v>
      </c>
      <c r="I72" s="3" t="s">
        <v>22</v>
      </c>
      <c r="J72" s="3" t="s">
        <v>40</v>
      </c>
      <c r="K72" s="11">
        <v>1</v>
      </c>
      <c r="L72" s="3" t="s">
        <v>4</v>
      </c>
      <c r="M72" s="5">
        <v>45926</v>
      </c>
      <c r="N72" s="29"/>
    </row>
    <row r="73" spans="2:14" ht="15.75" hidden="1" thickBot="1" x14ac:dyDescent="0.3">
      <c r="B73" s="55" t="str">
        <f t="shared" si="6"/>
        <v>MAR VERMELHO</v>
      </c>
      <c r="C73" s="67"/>
      <c r="D73" s="70"/>
      <c r="E73" s="70"/>
      <c r="F73" s="73"/>
      <c r="G73" s="70"/>
      <c r="H73" s="2" t="s">
        <v>27</v>
      </c>
      <c r="I73" s="2" t="s">
        <v>18</v>
      </c>
      <c r="J73" s="2" t="s">
        <v>18</v>
      </c>
      <c r="K73" s="10" t="s">
        <v>18</v>
      </c>
      <c r="L73" s="2" t="s">
        <v>18</v>
      </c>
      <c r="M73" s="4" t="str">
        <f>M68</f>
        <v>-</v>
      </c>
      <c r="N73" s="30" t="s">
        <v>18</v>
      </c>
    </row>
    <row r="74" spans="2:14" ht="15.75" hidden="1" thickBot="1" x14ac:dyDescent="0.3">
      <c r="B74" s="55" t="str">
        <f t="shared" si="6"/>
        <v>MAR VERMELHO</v>
      </c>
      <c r="C74" s="67"/>
      <c r="D74" s="70"/>
      <c r="E74" s="70"/>
      <c r="F74" s="73"/>
      <c r="G74" s="70"/>
      <c r="H74" s="2" t="s">
        <v>27</v>
      </c>
      <c r="I74" s="2" t="s">
        <v>22</v>
      </c>
      <c r="J74" s="2" t="s">
        <v>38</v>
      </c>
      <c r="K74" s="10">
        <f>K70</f>
        <v>1</v>
      </c>
      <c r="L74" s="2" t="s">
        <v>4</v>
      </c>
      <c r="M74" s="4">
        <f>M70</f>
        <v>45926</v>
      </c>
      <c r="N74" s="32"/>
    </row>
    <row r="75" spans="2:14" ht="15.75" hidden="1" thickBot="1" x14ac:dyDescent="0.3">
      <c r="B75" s="55" t="str">
        <f t="shared" si="6"/>
        <v>MAR VERMELHO</v>
      </c>
      <c r="C75" s="67"/>
      <c r="D75" s="70"/>
      <c r="E75" s="70"/>
      <c r="F75" s="73"/>
      <c r="G75" s="70"/>
      <c r="H75" s="2" t="s">
        <v>27</v>
      </c>
      <c r="I75" s="2" t="s">
        <v>25</v>
      </c>
      <c r="J75" s="2" t="s">
        <v>41</v>
      </c>
      <c r="K75" s="10">
        <v>1</v>
      </c>
      <c r="L75" s="2" t="s">
        <v>4</v>
      </c>
      <c r="M75" s="4">
        <f>M74+7</f>
        <v>45933</v>
      </c>
      <c r="N75" s="30"/>
    </row>
    <row r="76" spans="2:14" ht="15.75" hidden="1" thickBot="1" x14ac:dyDescent="0.3">
      <c r="B76" s="55" t="str">
        <f t="shared" si="6"/>
        <v>MAR VERMELHO</v>
      </c>
      <c r="C76" s="67"/>
      <c r="D76" s="70"/>
      <c r="E76" s="70"/>
      <c r="F76" s="73"/>
      <c r="G76" s="70"/>
      <c r="H76" s="2" t="s">
        <v>27</v>
      </c>
      <c r="I76" s="2" t="s">
        <v>22</v>
      </c>
      <c r="J76" s="2" t="s">
        <v>42</v>
      </c>
      <c r="K76" s="10">
        <v>0</v>
      </c>
      <c r="L76" s="2" t="s">
        <v>2</v>
      </c>
      <c r="M76" s="4">
        <f>M75+7</f>
        <v>45940</v>
      </c>
      <c r="N76" s="30"/>
    </row>
    <row r="77" spans="2:14" ht="15.75" hidden="1" thickBot="1" x14ac:dyDescent="0.3">
      <c r="B77" s="55" t="str">
        <f t="shared" si="6"/>
        <v>MAR VERMELHO</v>
      </c>
      <c r="C77" s="67"/>
      <c r="D77" s="70"/>
      <c r="E77" s="70"/>
      <c r="F77" s="73"/>
      <c r="G77" s="70"/>
      <c r="H77" s="2" t="s">
        <v>27</v>
      </c>
      <c r="I77" s="2" t="s">
        <v>25</v>
      </c>
      <c r="J77" s="2" t="s">
        <v>43</v>
      </c>
      <c r="K77" s="10">
        <v>0</v>
      </c>
      <c r="L77" s="2" t="s">
        <v>2</v>
      </c>
      <c r="M77" s="4">
        <f>M82</f>
        <v>45975</v>
      </c>
      <c r="N77" s="32"/>
    </row>
    <row r="78" spans="2:14" ht="15.75" hidden="1" thickBot="1" x14ac:dyDescent="0.3">
      <c r="B78" s="55" t="str">
        <f t="shared" si="6"/>
        <v>MAR VERMELHO</v>
      </c>
      <c r="C78" s="67"/>
      <c r="D78" s="70"/>
      <c r="E78" s="70"/>
      <c r="F78" s="73"/>
      <c r="G78" s="70"/>
      <c r="H78" s="3" t="s">
        <v>28</v>
      </c>
      <c r="I78" s="3" t="s">
        <v>18</v>
      </c>
      <c r="J78" s="3" t="s">
        <v>18</v>
      </c>
      <c r="K78" s="11" t="s">
        <v>18</v>
      </c>
      <c r="L78" s="3" t="s">
        <v>18</v>
      </c>
      <c r="M78" s="5" t="str">
        <f>M68</f>
        <v>-</v>
      </c>
      <c r="N78" s="31" t="s">
        <v>18</v>
      </c>
    </row>
    <row r="79" spans="2:14" ht="15.75" hidden="1" thickBot="1" x14ac:dyDescent="0.3">
      <c r="B79" s="55" t="str">
        <f t="shared" si="6"/>
        <v>MAR VERMELHO</v>
      </c>
      <c r="C79" s="67"/>
      <c r="D79" s="70"/>
      <c r="E79" s="70"/>
      <c r="F79" s="73"/>
      <c r="G79" s="70"/>
      <c r="H79" s="3" t="s">
        <v>28</v>
      </c>
      <c r="I79" s="3" t="s">
        <v>22</v>
      </c>
      <c r="J79" s="3" t="s">
        <v>38</v>
      </c>
      <c r="K79" s="11">
        <f>K70</f>
        <v>1</v>
      </c>
      <c r="L79" s="3" t="s">
        <v>4</v>
      </c>
      <c r="M79" s="5">
        <f>M70</f>
        <v>45926</v>
      </c>
      <c r="N79" s="29"/>
    </row>
    <row r="80" spans="2:14" ht="15.75" hidden="1" thickBot="1" x14ac:dyDescent="0.3">
      <c r="B80" s="55" t="str">
        <f t="shared" si="6"/>
        <v>MAR VERMELHO</v>
      </c>
      <c r="C80" s="67"/>
      <c r="D80" s="70"/>
      <c r="E80" s="70"/>
      <c r="F80" s="73"/>
      <c r="G80" s="70"/>
      <c r="H80" s="3" t="s">
        <v>28</v>
      </c>
      <c r="I80" s="3" t="s">
        <v>25</v>
      </c>
      <c r="J80" s="3" t="s">
        <v>41</v>
      </c>
      <c r="K80" s="11">
        <v>1</v>
      </c>
      <c r="L80" s="3" t="s">
        <v>2</v>
      </c>
      <c r="M80" s="5">
        <f>M79+7</f>
        <v>45933</v>
      </c>
      <c r="N80" s="31"/>
    </row>
    <row r="81" spans="2:14" ht="15.75" hidden="1" thickBot="1" x14ac:dyDescent="0.3">
      <c r="B81" s="55" t="str">
        <f t="shared" si="6"/>
        <v>MAR VERMELHO</v>
      </c>
      <c r="C81" s="67"/>
      <c r="D81" s="70"/>
      <c r="E81" s="70"/>
      <c r="F81" s="73"/>
      <c r="G81" s="70"/>
      <c r="H81" s="3" t="s">
        <v>28</v>
      </c>
      <c r="I81" s="3" t="s">
        <v>22</v>
      </c>
      <c r="J81" s="3" t="s">
        <v>42</v>
      </c>
      <c r="K81" s="11">
        <v>0</v>
      </c>
      <c r="L81" s="3" t="s">
        <v>2</v>
      </c>
      <c r="M81" s="5">
        <f>M80+7</f>
        <v>45940</v>
      </c>
      <c r="N81" s="31"/>
    </row>
    <row r="82" spans="2:14" ht="15.75" hidden="1" thickBot="1" x14ac:dyDescent="0.3">
      <c r="B82" s="55" t="str">
        <f t="shared" si="6"/>
        <v>MAR VERMELHO</v>
      </c>
      <c r="C82" s="67"/>
      <c r="D82" s="70"/>
      <c r="E82" s="70"/>
      <c r="F82" s="73"/>
      <c r="G82" s="70"/>
      <c r="H82" s="3" t="s">
        <v>28</v>
      </c>
      <c r="I82" s="3" t="s">
        <v>25</v>
      </c>
      <c r="J82" s="3" t="s">
        <v>43</v>
      </c>
      <c r="K82" s="11">
        <v>0</v>
      </c>
      <c r="L82" s="3" t="s">
        <v>2</v>
      </c>
      <c r="M82" s="5">
        <f>M87</f>
        <v>45975</v>
      </c>
      <c r="N82" s="29"/>
    </row>
    <row r="83" spans="2:14" ht="15.75" hidden="1" thickBot="1" x14ac:dyDescent="0.3">
      <c r="B83" s="55" t="str">
        <f t="shared" si="6"/>
        <v>MAR VERMELHO</v>
      </c>
      <c r="C83" s="67"/>
      <c r="D83" s="70"/>
      <c r="E83" s="70"/>
      <c r="F83" s="73"/>
      <c r="G83" s="70"/>
      <c r="H83" s="2" t="s">
        <v>20</v>
      </c>
      <c r="I83" s="2" t="s">
        <v>18</v>
      </c>
      <c r="J83" s="2" t="s">
        <v>18</v>
      </c>
      <c r="K83" s="10" t="s">
        <v>18</v>
      </c>
      <c r="L83" s="2" t="s">
        <v>18</v>
      </c>
      <c r="M83" s="4" t="str">
        <f>M68</f>
        <v>-</v>
      </c>
      <c r="N83" s="30" t="s">
        <v>18</v>
      </c>
    </row>
    <row r="84" spans="2:14" ht="15.75" hidden="1" thickBot="1" x14ac:dyDescent="0.3">
      <c r="B84" s="55" t="str">
        <f t="shared" si="6"/>
        <v>MAR VERMELHO</v>
      </c>
      <c r="C84" s="67"/>
      <c r="D84" s="70"/>
      <c r="E84" s="70"/>
      <c r="F84" s="73"/>
      <c r="G84" s="70"/>
      <c r="H84" s="2" t="s">
        <v>20</v>
      </c>
      <c r="I84" s="2" t="s">
        <v>22</v>
      </c>
      <c r="J84" s="2" t="s">
        <v>38</v>
      </c>
      <c r="K84" s="10">
        <f>K70</f>
        <v>1</v>
      </c>
      <c r="L84" s="2" t="s">
        <v>4</v>
      </c>
      <c r="M84" s="4">
        <f>M70</f>
        <v>45926</v>
      </c>
      <c r="N84" s="32"/>
    </row>
    <row r="85" spans="2:14" ht="15.75" hidden="1" thickBot="1" x14ac:dyDescent="0.3">
      <c r="B85" s="55" t="str">
        <f t="shared" si="6"/>
        <v>MAR VERMELHO</v>
      </c>
      <c r="C85" s="67"/>
      <c r="D85" s="70"/>
      <c r="E85" s="70"/>
      <c r="F85" s="73"/>
      <c r="G85" s="70"/>
      <c r="H85" s="2" t="s">
        <v>20</v>
      </c>
      <c r="I85" s="2" t="s">
        <v>25</v>
      </c>
      <c r="J85" s="2" t="s">
        <v>41</v>
      </c>
      <c r="K85" s="10">
        <v>1</v>
      </c>
      <c r="L85" s="2" t="s">
        <v>4</v>
      </c>
      <c r="M85" s="4">
        <f>M80+7</f>
        <v>45940</v>
      </c>
      <c r="N85" s="30"/>
    </row>
    <row r="86" spans="2:14" ht="15.75" hidden="1" thickBot="1" x14ac:dyDescent="0.3">
      <c r="B86" s="55" t="str">
        <f t="shared" si="6"/>
        <v>MAR VERMELHO</v>
      </c>
      <c r="C86" s="67"/>
      <c r="D86" s="70"/>
      <c r="E86" s="70"/>
      <c r="F86" s="73"/>
      <c r="G86" s="70"/>
      <c r="H86" s="2" t="s">
        <v>20</v>
      </c>
      <c r="I86" s="2" t="s">
        <v>22</v>
      </c>
      <c r="J86" s="2" t="s">
        <v>42</v>
      </c>
      <c r="K86" s="10">
        <v>0</v>
      </c>
      <c r="L86" s="2" t="s">
        <v>2</v>
      </c>
      <c r="M86" s="4">
        <f>M85+7</f>
        <v>45947</v>
      </c>
      <c r="N86" s="30"/>
    </row>
    <row r="87" spans="2:14" ht="15.75" hidden="1" thickBot="1" x14ac:dyDescent="0.3">
      <c r="B87" s="55" t="str">
        <f t="shared" si="6"/>
        <v>MAR VERMELHO</v>
      </c>
      <c r="C87" s="67"/>
      <c r="D87" s="70"/>
      <c r="E87" s="70"/>
      <c r="F87" s="73"/>
      <c r="G87" s="70"/>
      <c r="H87" s="2" t="s">
        <v>20</v>
      </c>
      <c r="I87" s="2" t="s">
        <v>25</v>
      </c>
      <c r="J87" s="2" t="s">
        <v>43</v>
      </c>
      <c r="K87" s="10">
        <v>0</v>
      </c>
      <c r="L87" s="2" t="s">
        <v>2</v>
      </c>
      <c r="M87" s="4">
        <f>M94</f>
        <v>45975</v>
      </c>
      <c r="N87" s="32"/>
    </row>
    <row r="88" spans="2:14" ht="15.75" hidden="1" thickBot="1" x14ac:dyDescent="0.3">
      <c r="B88" s="55" t="str">
        <f t="shared" si="6"/>
        <v>MAR VERMELHO</v>
      </c>
      <c r="C88" s="67"/>
      <c r="D88" s="70"/>
      <c r="E88" s="70"/>
      <c r="F88" s="73"/>
      <c r="G88" s="70"/>
      <c r="H88" s="3" t="s">
        <v>30</v>
      </c>
      <c r="I88" s="3" t="s">
        <v>18</v>
      </c>
      <c r="J88" s="3" t="s">
        <v>18</v>
      </c>
      <c r="K88" s="11" t="s">
        <v>18</v>
      </c>
      <c r="L88" s="3" t="s">
        <v>18</v>
      </c>
      <c r="M88" s="5" t="str">
        <f>M68</f>
        <v>-</v>
      </c>
      <c r="N88" s="31" t="s">
        <v>18</v>
      </c>
    </row>
    <row r="89" spans="2:14" ht="15.75" hidden="1" thickBot="1" x14ac:dyDescent="0.3">
      <c r="B89" s="55" t="str">
        <f t="shared" si="6"/>
        <v>MAR VERMELHO</v>
      </c>
      <c r="C89" s="67"/>
      <c r="D89" s="70"/>
      <c r="E89" s="70"/>
      <c r="F89" s="73"/>
      <c r="G89" s="70"/>
      <c r="H89" s="3" t="s">
        <v>30</v>
      </c>
      <c r="I89" s="3" t="s">
        <v>22</v>
      </c>
      <c r="J89" s="3" t="s">
        <v>38</v>
      </c>
      <c r="K89" s="11">
        <f>K70</f>
        <v>1</v>
      </c>
      <c r="L89" s="3" t="s">
        <v>4</v>
      </c>
      <c r="M89" s="5">
        <f>M70</f>
        <v>45926</v>
      </c>
      <c r="N89" s="29"/>
    </row>
    <row r="90" spans="2:14" ht="15.75" hidden="1" thickBot="1" x14ac:dyDescent="0.3">
      <c r="B90" s="55" t="str">
        <f t="shared" si="6"/>
        <v>MAR VERMELHO</v>
      </c>
      <c r="C90" s="67"/>
      <c r="D90" s="70"/>
      <c r="E90" s="70"/>
      <c r="F90" s="73"/>
      <c r="G90" s="70"/>
      <c r="H90" s="3" t="s">
        <v>30</v>
      </c>
      <c r="I90" s="3" t="s">
        <v>25</v>
      </c>
      <c r="J90" s="3" t="s">
        <v>39</v>
      </c>
      <c r="K90" s="11">
        <f>K71</f>
        <v>1</v>
      </c>
      <c r="L90" s="3" t="s">
        <v>4</v>
      </c>
      <c r="M90" s="5" t="str">
        <f>M71</f>
        <v>-</v>
      </c>
      <c r="N90" s="29"/>
    </row>
    <row r="91" spans="2:14" ht="15.75" hidden="1" thickBot="1" x14ac:dyDescent="0.3">
      <c r="B91" s="55" t="str">
        <f t="shared" si="6"/>
        <v>MAR VERMELHO</v>
      </c>
      <c r="C91" s="67"/>
      <c r="D91" s="70"/>
      <c r="E91" s="70"/>
      <c r="F91" s="73"/>
      <c r="G91" s="70"/>
      <c r="H91" s="3" t="s">
        <v>30</v>
      </c>
      <c r="I91" s="3" t="s">
        <v>22</v>
      </c>
      <c r="J91" s="3" t="s">
        <v>40</v>
      </c>
      <c r="K91" s="11">
        <f>K72</f>
        <v>1</v>
      </c>
      <c r="L91" s="3" t="s">
        <v>4</v>
      </c>
      <c r="M91" s="5">
        <f>M72</f>
        <v>45926</v>
      </c>
      <c r="N91" s="29"/>
    </row>
    <row r="92" spans="2:14" ht="15.75" hidden="1" thickBot="1" x14ac:dyDescent="0.3">
      <c r="B92" s="55" t="str">
        <f t="shared" si="6"/>
        <v>MAR VERMELHO</v>
      </c>
      <c r="C92" s="67"/>
      <c r="D92" s="70"/>
      <c r="E92" s="70"/>
      <c r="F92" s="73"/>
      <c r="G92" s="70"/>
      <c r="H92" s="3" t="s">
        <v>30</v>
      </c>
      <c r="I92" s="3" t="s">
        <v>25</v>
      </c>
      <c r="J92" s="3" t="s">
        <v>41</v>
      </c>
      <c r="K92" s="11">
        <v>1</v>
      </c>
      <c r="L92" s="3" t="s">
        <v>4</v>
      </c>
      <c r="M92" s="5">
        <f>M81+14</f>
        <v>45954</v>
      </c>
      <c r="N92" s="31"/>
    </row>
    <row r="93" spans="2:14" ht="15.75" hidden="1" thickBot="1" x14ac:dyDescent="0.3">
      <c r="B93" s="55" t="str">
        <f t="shared" si="6"/>
        <v>MAR VERMELHO</v>
      </c>
      <c r="C93" s="67"/>
      <c r="D93" s="70"/>
      <c r="E93" s="70"/>
      <c r="F93" s="73"/>
      <c r="G93" s="70"/>
      <c r="H93" s="3" t="s">
        <v>30</v>
      </c>
      <c r="I93" s="3" t="s">
        <v>22</v>
      </c>
      <c r="J93" s="3" t="s">
        <v>42</v>
      </c>
      <c r="K93" s="11">
        <v>0</v>
      </c>
      <c r="L93" s="3" t="s">
        <v>2</v>
      </c>
      <c r="M93" s="5">
        <f>M92+7</f>
        <v>45961</v>
      </c>
      <c r="N93" s="31"/>
    </row>
    <row r="94" spans="2:14" ht="15.75" hidden="1" thickBot="1" x14ac:dyDescent="0.3">
      <c r="B94" s="55" t="str">
        <f t="shared" si="6"/>
        <v>MAR VERMELHO</v>
      </c>
      <c r="C94" s="67"/>
      <c r="D94" s="70"/>
      <c r="E94" s="70"/>
      <c r="F94" s="73"/>
      <c r="G94" s="70"/>
      <c r="H94" s="3" t="s">
        <v>30</v>
      </c>
      <c r="I94" s="3" t="s">
        <v>25</v>
      </c>
      <c r="J94" s="3" t="s">
        <v>43</v>
      </c>
      <c r="K94" s="11">
        <v>0</v>
      </c>
      <c r="L94" s="3" t="s">
        <v>2</v>
      </c>
      <c r="M94" s="5">
        <f>M93+14</f>
        <v>45975</v>
      </c>
      <c r="N94" s="29"/>
    </row>
    <row r="95" spans="2:14" ht="15.75" hidden="1" thickBot="1" x14ac:dyDescent="0.3">
      <c r="B95" s="55" t="str">
        <f t="shared" si="6"/>
        <v>MAR VERMELHO</v>
      </c>
      <c r="C95" s="67"/>
      <c r="D95" s="70"/>
      <c r="E95" s="70"/>
      <c r="F95" s="73"/>
      <c r="G95" s="70"/>
      <c r="H95" s="2" t="s">
        <v>29</v>
      </c>
      <c r="I95" s="2" t="s">
        <v>18</v>
      </c>
      <c r="J95" s="2" t="s">
        <v>18</v>
      </c>
      <c r="K95" s="10" t="str">
        <f>K68</f>
        <v>-</v>
      </c>
      <c r="L95" s="2" t="s">
        <v>18</v>
      </c>
      <c r="M95" s="4" t="str">
        <f>M68</f>
        <v>-</v>
      </c>
      <c r="N95" s="32" t="s">
        <v>18</v>
      </c>
    </row>
    <row r="96" spans="2:14" ht="15.75" hidden="1" thickBot="1" x14ac:dyDescent="0.3">
      <c r="B96" s="56" t="str">
        <f t="shared" si="6"/>
        <v>MAR VERMELHO</v>
      </c>
      <c r="C96" s="68"/>
      <c r="D96" s="71"/>
      <c r="E96" s="71"/>
      <c r="F96" s="74"/>
      <c r="G96" s="71"/>
      <c r="H96" s="34" t="s">
        <v>29</v>
      </c>
      <c r="I96" s="34" t="s">
        <v>25</v>
      </c>
      <c r="J96" s="34" t="s">
        <v>47</v>
      </c>
      <c r="K96" s="35">
        <v>0.9</v>
      </c>
      <c r="L96" s="34" t="s">
        <v>2</v>
      </c>
      <c r="M96" s="36">
        <f>M92+7</f>
        <v>45961</v>
      </c>
      <c r="N96" s="57"/>
    </row>
    <row r="97" spans="2:14" ht="15.75" hidden="1" thickBot="1" x14ac:dyDescent="0.3">
      <c r="B97" s="38" t="str">
        <f>$C$97</f>
        <v>CAMPESTRE</v>
      </c>
      <c r="C97" s="60" t="s">
        <v>10</v>
      </c>
      <c r="D97" s="63">
        <v>45839</v>
      </c>
      <c r="E97" s="63">
        <v>46017</v>
      </c>
      <c r="F97" s="63" t="s">
        <v>4</v>
      </c>
      <c r="G97" s="63">
        <f>M127</f>
        <v>45975</v>
      </c>
      <c r="H97" s="39" t="s">
        <v>17</v>
      </c>
      <c r="I97" s="39" t="s">
        <v>22</v>
      </c>
      <c r="J97" s="39" t="s">
        <v>53</v>
      </c>
      <c r="K97" s="40">
        <v>1</v>
      </c>
      <c r="L97" s="39" t="s">
        <v>4</v>
      </c>
      <c r="M97" s="41" t="s">
        <v>18</v>
      </c>
      <c r="N97" s="42" t="s">
        <v>18</v>
      </c>
    </row>
    <row r="98" spans="2:14" ht="15.75" hidden="1" thickBot="1" x14ac:dyDescent="0.3">
      <c r="B98" s="43" t="str">
        <f t="shared" ref="B98:B127" si="7">$C$97</f>
        <v>CAMPESTRE</v>
      </c>
      <c r="C98" s="61"/>
      <c r="D98" s="64"/>
      <c r="E98" s="64"/>
      <c r="F98" s="64"/>
      <c r="G98" s="64"/>
      <c r="H98" s="12" t="s">
        <v>24</v>
      </c>
      <c r="I98" s="12" t="s">
        <v>22</v>
      </c>
      <c r="J98" s="12" t="s">
        <v>54</v>
      </c>
      <c r="K98" s="13" t="s">
        <v>18</v>
      </c>
      <c r="L98" s="12" t="s">
        <v>3</v>
      </c>
      <c r="M98" s="14" t="s">
        <v>18</v>
      </c>
      <c r="N98" s="44" t="s">
        <v>18</v>
      </c>
    </row>
    <row r="99" spans="2:14" ht="15.75" hidden="1" thickBot="1" x14ac:dyDescent="0.3">
      <c r="B99" s="43" t="str">
        <f t="shared" si="7"/>
        <v>CAMPESTRE</v>
      </c>
      <c r="C99" s="61"/>
      <c r="D99" s="64"/>
      <c r="E99" s="64"/>
      <c r="F99" s="64"/>
      <c r="G99" s="64"/>
      <c r="H99" s="15" t="s">
        <v>49</v>
      </c>
      <c r="I99" s="15" t="s">
        <v>23</v>
      </c>
      <c r="J99" s="15" t="s">
        <v>50</v>
      </c>
      <c r="K99" s="18">
        <v>1</v>
      </c>
      <c r="L99" s="15" t="s">
        <v>4</v>
      </c>
      <c r="M99" s="16">
        <v>45954</v>
      </c>
      <c r="N99" s="45">
        <v>45975</v>
      </c>
    </row>
    <row r="100" spans="2:14" ht="15.75" hidden="1" thickBot="1" x14ac:dyDescent="0.3">
      <c r="B100" s="43" t="str">
        <f t="shared" si="7"/>
        <v>CAMPESTRE</v>
      </c>
      <c r="C100" s="61"/>
      <c r="D100" s="64"/>
      <c r="E100" s="64"/>
      <c r="F100" s="64"/>
      <c r="G100" s="64"/>
      <c r="H100" s="12" t="s">
        <v>1</v>
      </c>
      <c r="I100" s="12" t="s">
        <v>22</v>
      </c>
      <c r="J100" s="12" t="s">
        <v>52</v>
      </c>
      <c r="K100" s="13">
        <v>1</v>
      </c>
      <c r="L100" s="12" t="s">
        <v>4</v>
      </c>
      <c r="M100" s="14" t="s">
        <v>18</v>
      </c>
      <c r="N100" s="44"/>
    </row>
    <row r="101" spans="2:14" ht="15.75" hidden="1" thickBot="1" x14ac:dyDescent="0.3">
      <c r="B101" s="43" t="str">
        <f t="shared" si="7"/>
        <v>CAMPESTRE</v>
      </c>
      <c r="C101" s="61"/>
      <c r="D101" s="64"/>
      <c r="E101" s="64"/>
      <c r="F101" s="64"/>
      <c r="G101" s="64"/>
      <c r="H101" s="15" t="s">
        <v>16</v>
      </c>
      <c r="I101" s="15" t="s">
        <v>22</v>
      </c>
      <c r="J101" s="15" t="s">
        <v>38</v>
      </c>
      <c r="K101" s="18" t="s">
        <v>18</v>
      </c>
      <c r="L101" s="15" t="s">
        <v>3</v>
      </c>
      <c r="M101" s="16" t="s">
        <v>18</v>
      </c>
      <c r="N101" s="47" t="s">
        <v>18</v>
      </c>
    </row>
    <row r="102" spans="2:14" ht="15.75" hidden="1" thickBot="1" x14ac:dyDescent="0.3">
      <c r="B102" s="43" t="str">
        <f t="shared" si="7"/>
        <v>CAMPESTRE</v>
      </c>
      <c r="C102" s="61"/>
      <c r="D102" s="64"/>
      <c r="E102" s="64"/>
      <c r="F102" s="64"/>
      <c r="G102" s="64"/>
      <c r="H102" s="12" t="s">
        <v>19</v>
      </c>
      <c r="I102" s="12" t="s">
        <v>25</v>
      </c>
      <c r="J102" s="12" t="s">
        <v>39</v>
      </c>
      <c r="K102" s="13">
        <v>1</v>
      </c>
      <c r="L102" s="12" t="s">
        <v>4</v>
      </c>
      <c r="M102" s="14" t="s">
        <v>18</v>
      </c>
      <c r="N102" s="44"/>
    </row>
    <row r="103" spans="2:14" ht="15.75" hidden="1" thickBot="1" x14ac:dyDescent="0.3">
      <c r="B103" s="43" t="str">
        <f t="shared" si="7"/>
        <v>CAMPESTRE</v>
      </c>
      <c r="C103" s="61"/>
      <c r="D103" s="64"/>
      <c r="E103" s="64"/>
      <c r="F103" s="64"/>
      <c r="G103" s="64"/>
      <c r="H103" s="12" t="s">
        <v>19</v>
      </c>
      <c r="I103" s="12" t="s">
        <v>22</v>
      </c>
      <c r="J103" s="12" t="s">
        <v>40</v>
      </c>
      <c r="K103" s="13">
        <v>1</v>
      </c>
      <c r="L103" s="12" t="s">
        <v>4</v>
      </c>
      <c r="M103" s="14">
        <v>45926</v>
      </c>
      <c r="N103" s="46">
        <v>45959</v>
      </c>
    </row>
    <row r="104" spans="2:14" ht="15.75" hidden="1" thickBot="1" x14ac:dyDescent="0.3">
      <c r="B104" s="43" t="str">
        <f t="shared" si="7"/>
        <v>CAMPESTRE</v>
      </c>
      <c r="C104" s="61"/>
      <c r="D104" s="64"/>
      <c r="E104" s="64"/>
      <c r="F104" s="64"/>
      <c r="G104" s="64"/>
      <c r="H104" s="15" t="s">
        <v>27</v>
      </c>
      <c r="I104" s="15" t="s">
        <v>23</v>
      </c>
      <c r="J104" s="15" t="s">
        <v>50</v>
      </c>
      <c r="K104" s="18">
        <f>K99</f>
        <v>1</v>
      </c>
      <c r="L104" s="15" t="s">
        <v>4</v>
      </c>
      <c r="M104" s="16">
        <f>M99</f>
        <v>45954</v>
      </c>
      <c r="N104" s="45">
        <v>45975</v>
      </c>
    </row>
    <row r="105" spans="2:14" ht="15.75" hidden="1" thickBot="1" x14ac:dyDescent="0.3">
      <c r="B105" s="43" t="str">
        <f t="shared" si="7"/>
        <v>CAMPESTRE</v>
      </c>
      <c r="C105" s="61"/>
      <c r="D105" s="64"/>
      <c r="E105" s="64"/>
      <c r="F105" s="64"/>
      <c r="G105" s="64"/>
      <c r="H105" s="15" t="s">
        <v>27</v>
      </c>
      <c r="I105" s="15" t="s">
        <v>22</v>
      </c>
      <c r="J105" s="15" t="s">
        <v>38</v>
      </c>
      <c r="K105" s="18" t="s">
        <v>18</v>
      </c>
      <c r="L105" s="15" t="s">
        <v>3</v>
      </c>
      <c r="M105" s="16" t="str">
        <f>M101</f>
        <v>-</v>
      </c>
      <c r="N105" s="47" t="s">
        <v>18</v>
      </c>
    </row>
    <row r="106" spans="2:14" ht="15.75" hidden="1" thickBot="1" x14ac:dyDescent="0.3">
      <c r="B106" s="43" t="str">
        <f t="shared" si="7"/>
        <v>CAMPESTRE</v>
      </c>
      <c r="C106" s="61"/>
      <c r="D106" s="64"/>
      <c r="E106" s="64"/>
      <c r="F106" s="64"/>
      <c r="G106" s="64"/>
      <c r="H106" s="15" t="s">
        <v>27</v>
      </c>
      <c r="I106" s="15" t="s">
        <v>25</v>
      </c>
      <c r="J106" s="15" t="s">
        <v>41</v>
      </c>
      <c r="K106" s="18">
        <v>1</v>
      </c>
      <c r="L106" s="15" t="s">
        <v>4</v>
      </c>
      <c r="M106" s="16">
        <v>45933</v>
      </c>
      <c r="N106" s="45">
        <v>45975</v>
      </c>
    </row>
    <row r="107" spans="2:14" ht="15.75" hidden="1" thickBot="1" x14ac:dyDescent="0.3">
      <c r="B107" s="43" t="str">
        <f t="shared" si="7"/>
        <v>CAMPESTRE</v>
      </c>
      <c r="C107" s="61"/>
      <c r="D107" s="64"/>
      <c r="E107" s="64"/>
      <c r="F107" s="64"/>
      <c r="G107" s="64"/>
      <c r="H107" s="15" t="s">
        <v>27</v>
      </c>
      <c r="I107" s="15" t="s">
        <v>22</v>
      </c>
      <c r="J107" s="15" t="s">
        <v>42</v>
      </c>
      <c r="K107" s="18">
        <v>0</v>
      </c>
      <c r="L107" s="15" t="s">
        <v>2</v>
      </c>
      <c r="M107" s="16">
        <f>M106+7</f>
        <v>45940</v>
      </c>
      <c r="N107" s="45"/>
    </row>
    <row r="108" spans="2:14" ht="15.75" hidden="1" thickBot="1" x14ac:dyDescent="0.3">
      <c r="B108" s="43" t="str">
        <f t="shared" si="7"/>
        <v>CAMPESTRE</v>
      </c>
      <c r="C108" s="61"/>
      <c r="D108" s="64"/>
      <c r="E108" s="64"/>
      <c r="F108" s="64"/>
      <c r="G108" s="64"/>
      <c r="H108" s="15" t="s">
        <v>27</v>
      </c>
      <c r="I108" s="15" t="s">
        <v>25</v>
      </c>
      <c r="J108" s="15" t="s">
        <v>43</v>
      </c>
      <c r="K108" s="18">
        <v>0</v>
      </c>
      <c r="L108" s="15" t="s">
        <v>2</v>
      </c>
      <c r="M108" s="16">
        <f>M113</f>
        <v>45989</v>
      </c>
      <c r="N108" s="47"/>
    </row>
    <row r="109" spans="2:14" ht="15.75" hidden="1" thickBot="1" x14ac:dyDescent="0.3">
      <c r="B109" s="43" t="str">
        <f t="shared" si="7"/>
        <v>CAMPESTRE</v>
      </c>
      <c r="C109" s="61"/>
      <c r="D109" s="64"/>
      <c r="E109" s="64"/>
      <c r="F109" s="64"/>
      <c r="G109" s="64"/>
      <c r="H109" s="12" t="s">
        <v>28</v>
      </c>
      <c r="I109" s="12" t="s">
        <v>23</v>
      </c>
      <c r="J109" s="12" t="s">
        <v>50</v>
      </c>
      <c r="K109" s="13">
        <f>K99</f>
        <v>1</v>
      </c>
      <c r="L109" s="12" t="s">
        <v>4</v>
      </c>
      <c r="M109" s="14">
        <f>M99</f>
        <v>45954</v>
      </c>
      <c r="N109" s="46">
        <v>45975</v>
      </c>
    </row>
    <row r="110" spans="2:14" ht="15.75" hidden="1" thickBot="1" x14ac:dyDescent="0.3">
      <c r="B110" s="43" t="str">
        <f t="shared" si="7"/>
        <v>CAMPESTRE</v>
      </c>
      <c r="C110" s="61"/>
      <c r="D110" s="64"/>
      <c r="E110" s="64"/>
      <c r="F110" s="64"/>
      <c r="G110" s="64"/>
      <c r="H110" s="12" t="s">
        <v>28</v>
      </c>
      <c r="I110" s="12" t="s">
        <v>22</v>
      </c>
      <c r="J110" s="12" t="s">
        <v>38</v>
      </c>
      <c r="K110" s="13" t="s">
        <v>18</v>
      </c>
      <c r="L110" s="12" t="s">
        <v>3</v>
      </c>
      <c r="M110" s="14" t="str">
        <f>M101</f>
        <v>-</v>
      </c>
      <c r="N110" s="44" t="s">
        <v>18</v>
      </c>
    </row>
    <row r="111" spans="2:14" ht="15.75" hidden="1" thickBot="1" x14ac:dyDescent="0.3">
      <c r="B111" s="43" t="str">
        <f t="shared" si="7"/>
        <v>CAMPESTRE</v>
      </c>
      <c r="C111" s="61"/>
      <c r="D111" s="64"/>
      <c r="E111" s="64"/>
      <c r="F111" s="64"/>
      <c r="G111" s="64"/>
      <c r="H111" s="12" t="s">
        <v>28</v>
      </c>
      <c r="I111" s="12" t="s">
        <v>25</v>
      </c>
      <c r="J111" s="12" t="s">
        <v>41</v>
      </c>
      <c r="K111" s="13">
        <v>0.8</v>
      </c>
      <c r="L111" s="12" t="s">
        <v>2</v>
      </c>
      <c r="M111" s="14">
        <f>M106</f>
        <v>45933</v>
      </c>
      <c r="N111" s="46"/>
    </row>
    <row r="112" spans="2:14" ht="15.75" hidden="1" thickBot="1" x14ac:dyDescent="0.3">
      <c r="B112" s="43" t="str">
        <f t="shared" si="7"/>
        <v>CAMPESTRE</v>
      </c>
      <c r="C112" s="61"/>
      <c r="D112" s="64"/>
      <c r="E112" s="64"/>
      <c r="F112" s="64"/>
      <c r="G112" s="64"/>
      <c r="H112" s="12" t="s">
        <v>28</v>
      </c>
      <c r="I112" s="12" t="s">
        <v>22</v>
      </c>
      <c r="J112" s="12" t="s">
        <v>42</v>
      </c>
      <c r="K112" s="13">
        <v>0</v>
      </c>
      <c r="L112" s="12" t="s">
        <v>2</v>
      </c>
      <c r="M112" s="14">
        <f>M111+7</f>
        <v>45940</v>
      </c>
      <c r="N112" s="46"/>
    </row>
    <row r="113" spans="2:14" ht="15.75" hidden="1" thickBot="1" x14ac:dyDescent="0.3">
      <c r="B113" s="43" t="str">
        <f t="shared" si="7"/>
        <v>CAMPESTRE</v>
      </c>
      <c r="C113" s="61"/>
      <c r="D113" s="64"/>
      <c r="E113" s="64"/>
      <c r="F113" s="64"/>
      <c r="G113" s="64"/>
      <c r="H113" s="12" t="s">
        <v>28</v>
      </c>
      <c r="I113" s="12" t="s">
        <v>25</v>
      </c>
      <c r="J113" s="12" t="s">
        <v>43</v>
      </c>
      <c r="K113" s="13">
        <v>0</v>
      </c>
      <c r="L113" s="12" t="s">
        <v>2</v>
      </c>
      <c r="M113" s="14">
        <f>M118</f>
        <v>45989</v>
      </c>
      <c r="N113" s="44"/>
    </row>
    <row r="114" spans="2:14" ht="15.75" hidden="1" thickBot="1" x14ac:dyDescent="0.3">
      <c r="B114" s="43" t="str">
        <f t="shared" si="7"/>
        <v>CAMPESTRE</v>
      </c>
      <c r="C114" s="61"/>
      <c r="D114" s="64"/>
      <c r="E114" s="64"/>
      <c r="F114" s="64"/>
      <c r="G114" s="64"/>
      <c r="H114" s="15" t="s">
        <v>20</v>
      </c>
      <c r="I114" s="15" t="s">
        <v>23</v>
      </c>
      <c r="J114" s="15" t="s">
        <v>50</v>
      </c>
      <c r="K114" s="18">
        <f>K99</f>
        <v>1</v>
      </c>
      <c r="L114" s="15" t="s">
        <v>4</v>
      </c>
      <c r="M114" s="16">
        <f>M99</f>
        <v>45954</v>
      </c>
      <c r="N114" s="45">
        <v>45975</v>
      </c>
    </row>
    <row r="115" spans="2:14" ht="15.75" hidden="1" thickBot="1" x14ac:dyDescent="0.3">
      <c r="B115" s="43" t="str">
        <f t="shared" si="7"/>
        <v>CAMPESTRE</v>
      </c>
      <c r="C115" s="61"/>
      <c r="D115" s="64"/>
      <c r="E115" s="64"/>
      <c r="F115" s="64"/>
      <c r="G115" s="64"/>
      <c r="H115" s="15" t="s">
        <v>20</v>
      </c>
      <c r="I115" s="15" t="s">
        <v>22</v>
      </c>
      <c r="J115" s="15" t="s">
        <v>38</v>
      </c>
      <c r="K115" s="18" t="s">
        <v>18</v>
      </c>
      <c r="L115" s="15" t="s">
        <v>3</v>
      </c>
      <c r="M115" s="16" t="str">
        <f>M101</f>
        <v>-</v>
      </c>
      <c r="N115" s="47" t="s">
        <v>18</v>
      </c>
    </row>
    <row r="116" spans="2:14" ht="15.75" hidden="1" thickBot="1" x14ac:dyDescent="0.3">
      <c r="B116" s="43" t="str">
        <f t="shared" si="7"/>
        <v>CAMPESTRE</v>
      </c>
      <c r="C116" s="61"/>
      <c r="D116" s="64"/>
      <c r="E116" s="64"/>
      <c r="F116" s="64"/>
      <c r="G116" s="64"/>
      <c r="H116" s="15" t="s">
        <v>20</v>
      </c>
      <c r="I116" s="15" t="s">
        <v>25</v>
      </c>
      <c r="J116" s="15" t="s">
        <v>41</v>
      </c>
      <c r="K116" s="18">
        <v>1</v>
      </c>
      <c r="L116" s="15" t="s">
        <v>26</v>
      </c>
      <c r="M116" s="16">
        <f>M111+14</f>
        <v>45947</v>
      </c>
      <c r="N116" s="45">
        <v>45975</v>
      </c>
    </row>
    <row r="117" spans="2:14" ht="15.75" hidden="1" thickBot="1" x14ac:dyDescent="0.3">
      <c r="B117" s="43" t="str">
        <f t="shared" si="7"/>
        <v>CAMPESTRE</v>
      </c>
      <c r="C117" s="61"/>
      <c r="D117" s="64"/>
      <c r="E117" s="64"/>
      <c r="F117" s="64"/>
      <c r="G117" s="64"/>
      <c r="H117" s="15" t="s">
        <v>20</v>
      </c>
      <c r="I117" s="15" t="s">
        <v>22</v>
      </c>
      <c r="J117" s="15" t="s">
        <v>42</v>
      </c>
      <c r="K117" s="18">
        <v>0</v>
      </c>
      <c r="L117" s="15" t="s">
        <v>2</v>
      </c>
      <c r="M117" s="16">
        <f>M116+7</f>
        <v>45954</v>
      </c>
      <c r="N117" s="45"/>
    </row>
    <row r="118" spans="2:14" ht="15.75" hidden="1" thickBot="1" x14ac:dyDescent="0.3">
      <c r="B118" s="43" t="str">
        <f t="shared" si="7"/>
        <v>CAMPESTRE</v>
      </c>
      <c r="C118" s="61"/>
      <c r="D118" s="64"/>
      <c r="E118" s="64"/>
      <c r="F118" s="64"/>
      <c r="G118" s="64"/>
      <c r="H118" s="15" t="s">
        <v>20</v>
      </c>
      <c r="I118" s="15" t="s">
        <v>25</v>
      </c>
      <c r="J118" s="15" t="s">
        <v>43</v>
      </c>
      <c r="K118" s="18">
        <v>0</v>
      </c>
      <c r="L118" s="15" t="s">
        <v>2</v>
      </c>
      <c r="M118" s="16">
        <f>M125</f>
        <v>45989</v>
      </c>
      <c r="N118" s="47"/>
    </row>
    <row r="119" spans="2:14" ht="15.75" hidden="1" thickBot="1" x14ac:dyDescent="0.3">
      <c r="B119" s="43" t="str">
        <f t="shared" si="7"/>
        <v>CAMPESTRE</v>
      </c>
      <c r="C119" s="61"/>
      <c r="D119" s="64"/>
      <c r="E119" s="64"/>
      <c r="F119" s="64"/>
      <c r="G119" s="64"/>
      <c r="H119" s="12" t="s">
        <v>30</v>
      </c>
      <c r="I119" s="12" t="s">
        <v>23</v>
      </c>
      <c r="J119" s="12" t="s">
        <v>50</v>
      </c>
      <c r="K119" s="13">
        <f>K99</f>
        <v>1</v>
      </c>
      <c r="L119" s="12" t="s">
        <v>4</v>
      </c>
      <c r="M119" s="14">
        <f>M99</f>
        <v>45954</v>
      </c>
      <c r="N119" s="46">
        <v>45975</v>
      </c>
    </row>
    <row r="120" spans="2:14" ht="15.75" hidden="1" thickBot="1" x14ac:dyDescent="0.3">
      <c r="B120" s="43" t="str">
        <f t="shared" si="7"/>
        <v>CAMPESTRE</v>
      </c>
      <c r="C120" s="61"/>
      <c r="D120" s="64"/>
      <c r="E120" s="64"/>
      <c r="F120" s="64"/>
      <c r="G120" s="64"/>
      <c r="H120" s="12" t="s">
        <v>30</v>
      </c>
      <c r="I120" s="12" t="s">
        <v>22</v>
      </c>
      <c r="J120" s="12" t="s">
        <v>38</v>
      </c>
      <c r="K120" s="13" t="s">
        <v>18</v>
      </c>
      <c r="L120" s="12" t="s">
        <v>3</v>
      </c>
      <c r="M120" s="14" t="str">
        <f>M101</f>
        <v>-</v>
      </c>
      <c r="N120" s="44" t="s">
        <v>18</v>
      </c>
    </row>
    <row r="121" spans="2:14" ht="15.75" hidden="1" thickBot="1" x14ac:dyDescent="0.3">
      <c r="B121" s="43" t="str">
        <f t="shared" si="7"/>
        <v>CAMPESTRE</v>
      </c>
      <c r="C121" s="61"/>
      <c r="D121" s="64"/>
      <c r="E121" s="64"/>
      <c r="F121" s="64"/>
      <c r="G121" s="64"/>
      <c r="H121" s="12" t="s">
        <v>30</v>
      </c>
      <c r="I121" s="12" t="s">
        <v>25</v>
      </c>
      <c r="J121" s="12" t="s">
        <v>39</v>
      </c>
      <c r="K121" s="13">
        <v>1</v>
      </c>
      <c r="L121" s="12" t="s">
        <v>4</v>
      </c>
      <c r="M121" s="14" t="str">
        <f>M102</f>
        <v>-</v>
      </c>
      <c r="N121" s="44"/>
    </row>
    <row r="122" spans="2:14" ht="15.75" hidden="1" thickBot="1" x14ac:dyDescent="0.3">
      <c r="B122" s="43" t="str">
        <f t="shared" si="7"/>
        <v>CAMPESTRE</v>
      </c>
      <c r="C122" s="61"/>
      <c r="D122" s="64"/>
      <c r="E122" s="64"/>
      <c r="F122" s="64"/>
      <c r="G122" s="64"/>
      <c r="H122" s="12" t="s">
        <v>30</v>
      </c>
      <c r="I122" s="12" t="s">
        <v>22</v>
      </c>
      <c r="J122" s="12" t="s">
        <v>40</v>
      </c>
      <c r="K122" s="13">
        <v>1</v>
      </c>
      <c r="L122" s="12" t="s">
        <v>4</v>
      </c>
      <c r="M122" s="14">
        <v>45954</v>
      </c>
      <c r="N122" s="46">
        <v>45959</v>
      </c>
    </row>
    <row r="123" spans="2:14" ht="15.75" hidden="1" thickBot="1" x14ac:dyDescent="0.3">
      <c r="B123" s="43" t="str">
        <f t="shared" si="7"/>
        <v>CAMPESTRE</v>
      </c>
      <c r="C123" s="61"/>
      <c r="D123" s="64"/>
      <c r="E123" s="64"/>
      <c r="F123" s="64"/>
      <c r="G123" s="64"/>
      <c r="H123" s="12" t="s">
        <v>30</v>
      </c>
      <c r="I123" s="12" t="s">
        <v>25</v>
      </c>
      <c r="J123" s="12" t="s">
        <v>41</v>
      </c>
      <c r="K123" s="13">
        <v>1</v>
      </c>
      <c r="L123" s="12" t="s">
        <v>4</v>
      </c>
      <c r="M123" s="14">
        <f>M122+14</f>
        <v>45968</v>
      </c>
      <c r="N123" s="46">
        <v>45975</v>
      </c>
    </row>
    <row r="124" spans="2:14" ht="15.75" hidden="1" thickBot="1" x14ac:dyDescent="0.3">
      <c r="B124" s="43" t="str">
        <f t="shared" si="7"/>
        <v>CAMPESTRE</v>
      </c>
      <c r="C124" s="61"/>
      <c r="D124" s="64"/>
      <c r="E124" s="64"/>
      <c r="F124" s="64"/>
      <c r="G124" s="64"/>
      <c r="H124" s="12" t="s">
        <v>30</v>
      </c>
      <c r="I124" s="12" t="s">
        <v>22</v>
      </c>
      <c r="J124" s="12" t="s">
        <v>42</v>
      </c>
      <c r="K124" s="13">
        <v>0</v>
      </c>
      <c r="L124" s="12" t="s">
        <v>2</v>
      </c>
      <c r="M124" s="14">
        <f>M123+7</f>
        <v>45975</v>
      </c>
      <c r="N124" s="46"/>
    </row>
    <row r="125" spans="2:14" ht="15.75" hidden="1" thickBot="1" x14ac:dyDescent="0.3">
      <c r="B125" s="43" t="str">
        <f t="shared" si="7"/>
        <v>CAMPESTRE</v>
      </c>
      <c r="C125" s="61"/>
      <c r="D125" s="64"/>
      <c r="E125" s="64"/>
      <c r="F125" s="64"/>
      <c r="G125" s="64"/>
      <c r="H125" s="12" t="s">
        <v>30</v>
      </c>
      <c r="I125" s="12" t="s">
        <v>25</v>
      </c>
      <c r="J125" s="12" t="s">
        <v>43</v>
      </c>
      <c r="K125" s="13">
        <v>0</v>
      </c>
      <c r="L125" s="12" t="s">
        <v>2</v>
      </c>
      <c r="M125" s="14">
        <f>M124+14</f>
        <v>45989</v>
      </c>
      <c r="N125" s="44"/>
    </row>
    <row r="126" spans="2:14" ht="15.75" hidden="1" thickBot="1" x14ac:dyDescent="0.3">
      <c r="B126" s="43" t="str">
        <f t="shared" si="7"/>
        <v>CAMPESTRE</v>
      </c>
      <c r="C126" s="61"/>
      <c r="D126" s="64"/>
      <c r="E126" s="64"/>
      <c r="F126" s="64"/>
      <c r="G126" s="64"/>
      <c r="H126" s="15" t="s">
        <v>29</v>
      </c>
      <c r="I126" s="15" t="s">
        <v>23</v>
      </c>
      <c r="J126" s="15" t="s">
        <v>46</v>
      </c>
      <c r="K126" s="18">
        <f>K99</f>
        <v>1</v>
      </c>
      <c r="L126" s="15" t="s">
        <v>4</v>
      </c>
      <c r="M126" s="16">
        <f>M99</f>
        <v>45954</v>
      </c>
      <c r="N126" s="45">
        <v>45975</v>
      </c>
    </row>
    <row r="127" spans="2:14" ht="15.75" hidden="1" thickBot="1" x14ac:dyDescent="0.3">
      <c r="B127" s="49" t="str">
        <f t="shared" si="7"/>
        <v>CAMPESTRE</v>
      </c>
      <c r="C127" s="62"/>
      <c r="D127" s="65"/>
      <c r="E127" s="65"/>
      <c r="F127" s="65"/>
      <c r="G127" s="65"/>
      <c r="H127" s="50" t="s">
        <v>29</v>
      </c>
      <c r="I127" s="50" t="s">
        <v>25</v>
      </c>
      <c r="J127" s="50" t="s">
        <v>47</v>
      </c>
      <c r="K127" s="51">
        <v>0.9</v>
      </c>
      <c r="L127" s="50" t="s">
        <v>2</v>
      </c>
      <c r="M127" s="52">
        <f>M123+7</f>
        <v>45975</v>
      </c>
      <c r="N127" s="53"/>
    </row>
    <row r="128" spans="2:14" ht="15.75" hidden="1" thickBot="1" x14ac:dyDescent="0.3">
      <c r="B128" s="54" t="str">
        <f>$C$128</f>
        <v>IBATEGUARA</v>
      </c>
      <c r="C128" s="66" t="s">
        <v>11</v>
      </c>
      <c r="D128" s="69">
        <v>45782</v>
      </c>
      <c r="E128" s="69">
        <v>45869</v>
      </c>
      <c r="F128" s="72" t="s">
        <v>4</v>
      </c>
      <c r="G128" s="69">
        <f>M158</f>
        <v>45961</v>
      </c>
      <c r="H128" s="39" t="s">
        <v>17</v>
      </c>
      <c r="I128" s="39" t="s">
        <v>22</v>
      </c>
      <c r="J128" s="39" t="s">
        <v>53</v>
      </c>
      <c r="K128" s="40">
        <v>1</v>
      </c>
      <c r="L128" s="39" t="s">
        <v>4</v>
      </c>
      <c r="M128" s="41" t="s">
        <v>18</v>
      </c>
      <c r="N128" s="42" t="s">
        <v>18</v>
      </c>
    </row>
    <row r="129" spans="2:14" ht="15.75" hidden="1" thickBot="1" x14ac:dyDescent="0.3">
      <c r="B129" s="55" t="str">
        <f t="shared" ref="B129:B158" si="8">$C$128</f>
        <v>IBATEGUARA</v>
      </c>
      <c r="C129" s="67"/>
      <c r="D129" s="70"/>
      <c r="E129" s="70"/>
      <c r="F129" s="73"/>
      <c r="G129" s="70"/>
      <c r="H129" s="12" t="s">
        <v>24</v>
      </c>
      <c r="I129" s="12" t="s">
        <v>22</v>
      </c>
      <c r="J129" s="12" t="s">
        <v>54</v>
      </c>
      <c r="K129" s="13" t="s">
        <v>18</v>
      </c>
      <c r="L129" s="12" t="s">
        <v>3</v>
      </c>
      <c r="M129" s="14" t="s">
        <v>18</v>
      </c>
      <c r="N129" s="44" t="s">
        <v>18</v>
      </c>
    </row>
    <row r="130" spans="2:14" ht="15.75" hidden="1" thickBot="1" x14ac:dyDescent="0.3">
      <c r="B130" s="55" t="str">
        <f t="shared" si="8"/>
        <v>IBATEGUARA</v>
      </c>
      <c r="C130" s="67"/>
      <c r="D130" s="70"/>
      <c r="E130" s="70"/>
      <c r="F130" s="73"/>
      <c r="G130" s="70"/>
      <c r="H130" s="15" t="s">
        <v>49</v>
      </c>
      <c r="I130" s="15" t="s">
        <v>23</v>
      </c>
      <c r="J130" s="15" t="s">
        <v>50</v>
      </c>
      <c r="K130" s="18">
        <v>1</v>
      </c>
      <c r="L130" s="15" t="s">
        <v>26</v>
      </c>
      <c r="M130" s="16">
        <v>45933</v>
      </c>
      <c r="N130" s="45"/>
    </row>
    <row r="131" spans="2:14" ht="15.75" hidden="1" thickBot="1" x14ac:dyDescent="0.3">
      <c r="B131" s="55" t="str">
        <f t="shared" si="8"/>
        <v>IBATEGUARA</v>
      </c>
      <c r="C131" s="67"/>
      <c r="D131" s="70"/>
      <c r="E131" s="70"/>
      <c r="F131" s="73"/>
      <c r="G131" s="70"/>
      <c r="H131" s="12" t="s">
        <v>1</v>
      </c>
      <c r="I131" s="12" t="s">
        <v>22</v>
      </c>
      <c r="J131" s="12" t="s">
        <v>52</v>
      </c>
      <c r="K131" s="13">
        <v>1</v>
      </c>
      <c r="L131" s="12" t="s">
        <v>4</v>
      </c>
      <c r="M131" s="14" t="s">
        <v>18</v>
      </c>
      <c r="N131" s="46" t="s">
        <v>18</v>
      </c>
    </row>
    <row r="132" spans="2:14" ht="15.75" hidden="1" thickBot="1" x14ac:dyDescent="0.3">
      <c r="B132" s="55" t="str">
        <f t="shared" si="8"/>
        <v>IBATEGUARA</v>
      </c>
      <c r="C132" s="67"/>
      <c r="D132" s="70"/>
      <c r="E132" s="70"/>
      <c r="F132" s="73"/>
      <c r="G132" s="70"/>
      <c r="H132" s="15" t="s">
        <v>16</v>
      </c>
      <c r="I132" s="15" t="s">
        <v>22</v>
      </c>
      <c r="J132" s="15" t="s">
        <v>38</v>
      </c>
      <c r="K132" s="18" t="s">
        <v>18</v>
      </c>
      <c r="L132" s="15" t="s">
        <v>3</v>
      </c>
      <c r="M132" s="16" t="s">
        <v>18</v>
      </c>
      <c r="N132" s="47" t="s">
        <v>18</v>
      </c>
    </row>
    <row r="133" spans="2:14" ht="15.75" hidden="1" thickBot="1" x14ac:dyDescent="0.3">
      <c r="B133" s="55" t="str">
        <f t="shared" si="8"/>
        <v>IBATEGUARA</v>
      </c>
      <c r="C133" s="67"/>
      <c r="D133" s="70"/>
      <c r="E133" s="70"/>
      <c r="F133" s="73"/>
      <c r="G133" s="70"/>
      <c r="H133" s="12" t="s">
        <v>19</v>
      </c>
      <c r="I133" s="12" t="s">
        <v>25</v>
      </c>
      <c r="J133" s="12" t="s">
        <v>39</v>
      </c>
      <c r="K133" s="13">
        <v>1</v>
      </c>
      <c r="L133" s="12" t="s">
        <v>4</v>
      </c>
      <c r="M133" s="14" t="s">
        <v>18</v>
      </c>
      <c r="N133" s="44"/>
    </row>
    <row r="134" spans="2:14" ht="15.75" hidden="1" thickBot="1" x14ac:dyDescent="0.3">
      <c r="B134" s="55" t="str">
        <f t="shared" si="8"/>
        <v>IBATEGUARA</v>
      </c>
      <c r="C134" s="67"/>
      <c r="D134" s="70"/>
      <c r="E134" s="70"/>
      <c r="F134" s="73"/>
      <c r="G134" s="70"/>
      <c r="H134" s="12" t="s">
        <v>19</v>
      </c>
      <c r="I134" s="12" t="s">
        <v>22</v>
      </c>
      <c r="J134" s="12" t="s">
        <v>40</v>
      </c>
      <c r="K134" s="13">
        <v>1</v>
      </c>
      <c r="L134" s="12" t="s">
        <v>4</v>
      </c>
      <c r="M134" s="14">
        <v>45926</v>
      </c>
      <c r="N134" s="44"/>
    </row>
    <row r="135" spans="2:14" ht="15.75" hidden="1" thickBot="1" x14ac:dyDescent="0.3">
      <c r="B135" s="55" t="str">
        <f t="shared" si="8"/>
        <v>IBATEGUARA</v>
      </c>
      <c r="C135" s="67"/>
      <c r="D135" s="70"/>
      <c r="E135" s="70"/>
      <c r="F135" s="73"/>
      <c r="G135" s="70"/>
      <c r="H135" s="15" t="s">
        <v>27</v>
      </c>
      <c r="I135" s="15" t="s">
        <v>23</v>
      </c>
      <c r="J135" s="15" t="s">
        <v>50</v>
      </c>
      <c r="K135" s="18">
        <v>1</v>
      </c>
      <c r="L135" s="15" t="s">
        <v>4</v>
      </c>
      <c r="M135" s="16">
        <f>M130</f>
        <v>45933</v>
      </c>
      <c r="N135" s="45"/>
    </row>
    <row r="136" spans="2:14" ht="15.75" hidden="1" thickBot="1" x14ac:dyDescent="0.3">
      <c r="B136" s="55" t="str">
        <f t="shared" si="8"/>
        <v>IBATEGUARA</v>
      </c>
      <c r="C136" s="67"/>
      <c r="D136" s="70"/>
      <c r="E136" s="70"/>
      <c r="F136" s="73"/>
      <c r="G136" s="70"/>
      <c r="H136" s="15" t="s">
        <v>27</v>
      </c>
      <c r="I136" s="15" t="s">
        <v>22</v>
      </c>
      <c r="J136" s="15" t="s">
        <v>38</v>
      </c>
      <c r="K136" s="18" t="s">
        <v>18</v>
      </c>
      <c r="L136" s="15" t="s">
        <v>3</v>
      </c>
      <c r="M136" s="16" t="str">
        <f>M132</f>
        <v>-</v>
      </c>
      <c r="N136" s="47" t="s">
        <v>18</v>
      </c>
    </row>
    <row r="137" spans="2:14" ht="15.75" hidden="1" thickBot="1" x14ac:dyDescent="0.3">
      <c r="B137" s="55" t="str">
        <f t="shared" si="8"/>
        <v>IBATEGUARA</v>
      </c>
      <c r="C137" s="67"/>
      <c r="D137" s="70"/>
      <c r="E137" s="70"/>
      <c r="F137" s="73"/>
      <c r="G137" s="70"/>
      <c r="H137" s="15" t="s">
        <v>27</v>
      </c>
      <c r="I137" s="15" t="s">
        <v>25</v>
      </c>
      <c r="J137" s="15" t="s">
        <v>41</v>
      </c>
      <c r="K137" s="18">
        <v>1</v>
      </c>
      <c r="L137" s="15" t="s">
        <v>4</v>
      </c>
      <c r="M137" s="16">
        <f>M135+7</f>
        <v>45940</v>
      </c>
      <c r="N137" s="45"/>
    </row>
    <row r="138" spans="2:14" ht="15.75" hidden="1" thickBot="1" x14ac:dyDescent="0.3">
      <c r="B138" s="55" t="str">
        <f t="shared" si="8"/>
        <v>IBATEGUARA</v>
      </c>
      <c r="C138" s="67"/>
      <c r="D138" s="70"/>
      <c r="E138" s="70"/>
      <c r="F138" s="73"/>
      <c r="G138" s="70"/>
      <c r="H138" s="15" t="s">
        <v>27</v>
      </c>
      <c r="I138" s="15" t="s">
        <v>22</v>
      </c>
      <c r="J138" s="15" t="s">
        <v>42</v>
      </c>
      <c r="K138" s="18">
        <v>0</v>
      </c>
      <c r="L138" s="15" t="s">
        <v>2</v>
      </c>
      <c r="M138" s="16">
        <f>M137+7</f>
        <v>45947</v>
      </c>
      <c r="N138" s="45"/>
    </row>
    <row r="139" spans="2:14" ht="15.75" hidden="1" thickBot="1" x14ac:dyDescent="0.3">
      <c r="B139" s="55" t="str">
        <f t="shared" si="8"/>
        <v>IBATEGUARA</v>
      </c>
      <c r="C139" s="67"/>
      <c r="D139" s="70"/>
      <c r="E139" s="70"/>
      <c r="F139" s="73"/>
      <c r="G139" s="70"/>
      <c r="H139" s="15" t="s">
        <v>27</v>
      </c>
      <c r="I139" s="15" t="s">
        <v>25</v>
      </c>
      <c r="J139" s="15" t="s">
        <v>43</v>
      </c>
      <c r="K139" s="18">
        <v>0</v>
      </c>
      <c r="L139" s="15" t="s">
        <v>2</v>
      </c>
      <c r="M139" s="16">
        <f>M144</f>
        <v>45975</v>
      </c>
      <c r="N139" s="47"/>
    </row>
    <row r="140" spans="2:14" ht="15.75" hidden="1" thickBot="1" x14ac:dyDescent="0.3">
      <c r="B140" s="55" t="str">
        <f t="shared" si="8"/>
        <v>IBATEGUARA</v>
      </c>
      <c r="C140" s="67"/>
      <c r="D140" s="70"/>
      <c r="E140" s="70"/>
      <c r="F140" s="73"/>
      <c r="G140" s="70"/>
      <c r="H140" s="12" t="s">
        <v>28</v>
      </c>
      <c r="I140" s="12" t="s">
        <v>23</v>
      </c>
      <c r="J140" s="12" t="s">
        <v>50</v>
      </c>
      <c r="K140" s="13">
        <f>K130</f>
        <v>1</v>
      </c>
      <c r="L140" s="12" t="s">
        <v>26</v>
      </c>
      <c r="M140" s="14">
        <f>M135</f>
        <v>45933</v>
      </c>
      <c r="N140" s="46"/>
    </row>
    <row r="141" spans="2:14" ht="15.75" hidden="1" thickBot="1" x14ac:dyDescent="0.3">
      <c r="B141" s="55" t="str">
        <f t="shared" si="8"/>
        <v>IBATEGUARA</v>
      </c>
      <c r="C141" s="67"/>
      <c r="D141" s="70"/>
      <c r="E141" s="70"/>
      <c r="F141" s="73"/>
      <c r="G141" s="70"/>
      <c r="H141" s="12" t="s">
        <v>28</v>
      </c>
      <c r="I141" s="12" t="s">
        <v>22</v>
      </c>
      <c r="J141" s="12" t="s">
        <v>38</v>
      </c>
      <c r="K141" s="13" t="s">
        <v>18</v>
      </c>
      <c r="L141" s="12" t="s">
        <v>3</v>
      </c>
      <c r="M141" s="14" t="str">
        <f>M132</f>
        <v>-</v>
      </c>
      <c r="N141" s="44" t="s">
        <v>18</v>
      </c>
    </row>
    <row r="142" spans="2:14" ht="15.75" hidden="1" thickBot="1" x14ac:dyDescent="0.3">
      <c r="B142" s="55" t="str">
        <f t="shared" si="8"/>
        <v>IBATEGUARA</v>
      </c>
      <c r="C142" s="67"/>
      <c r="D142" s="70"/>
      <c r="E142" s="70"/>
      <c r="F142" s="73"/>
      <c r="G142" s="70"/>
      <c r="H142" s="12" t="s">
        <v>28</v>
      </c>
      <c r="I142" s="12" t="s">
        <v>25</v>
      </c>
      <c r="J142" s="12" t="s">
        <v>41</v>
      </c>
      <c r="K142" s="13">
        <v>1</v>
      </c>
      <c r="L142" s="12" t="s">
        <v>4</v>
      </c>
      <c r="M142" s="14">
        <f>M140+7</f>
        <v>45940</v>
      </c>
      <c r="N142" s="46"/>
    </row>
    <row r="143" spans="2:14" ht="15.75" hidden="1" thickBot="1" x14ac:dyDescent="0.3">
      <c r="B143" s="55" t="str">
        <f t="shared" si="8"/>
        <v>IBATEGUARA</v>
      </c>
      <c r="C143" s="67"/>
      <c r="D143" s="70"/>
      <c r="E143" s="70"/>
      <c r="F143" s="73"/>
      <c r="G143" s="70"/>
      <c r="H143" s="12" t="s">
        <v>28</v>
      </c>
      <c r="I143" s="12" t="s">
        <v>22</v>
      </c>
      <c r="J143" s="12" t="s">
        <v>42</v>
      </c>
      <c r="K143" s="13">
        <v>0</v>
      </c>
      <c r="L143" s="12" t="s">
        <v>2</v>
      </c>
      <c r="M143" s="14">
        <f>M142+7</f>
        <v>45947</v>
      </c>
      <c r="N143" s="46"/>
    </row>
    <row r="144" spans="2:14" ht="15.75" hidden="1" thickBot="1" x14ac:dyDescent="0.3">
      <c r="B144" s="55" t="str">
        <f t="shared" si="8"/>
        <v>IBATEGUARA</v>
      </c>
      <c r="C144" s="67"/>
      <c r="D144" s="70"/>
      <c r="E144" s="70"/>
      <c r="F144" s="73"/>
      <c r="G144" s="70"/>
      <c r="H144" s="12" t="s">
        <v>28</v>
      </c>
      <c r="I144" s="12" t="s">
        <v>25</v>
      </c>
      <c r="J144" s="12" t="s">
        <v>43</v>
      </c>
      <c r="K144" s="13">
        <v>0</v>
      </c>
      <c r="L144" s="12" t="s">
        <v>2</v>
      </c>
      <c r="M144" s="14">
        <f>M149</f>
        <v>45975</v>
      </c>
      <c r="N144" s="44"/>
    </row>
    <row r="145" spans="2:14" ht="15.75" hidden="1" thickBot="1" x14ac:dyDescent="0.3">
      <c r="B145" s="55" t="str">
        <f t="shared" si="8"/>
        <v>IBATEGUARA</v>
      </c>
      <c r="C145" s="67"/>
      <c r="D145" s="70"/>
      <c r="E145" s="70"/>
      <c r="F145" s="73"/>
      <c r="G145" s="70"/>
      <c r="H145" s="15" t="s">
        <v>20</v>
      </c>
      <c r="I145" s="15" t="s">
        <v>23</v>
      </c>
      <c r="J145" s="15" t="s">
        <v>50</v>
      </c>
      <c r="K145" s="18">
        <v>1</v>
      </c>
      <c r="L145" s="15" t="s">
        <v>4</v>
      </c>
      <c r="M145" s="16">
        <f>M130</f>
        <v>45933</v>
      </c>
      <c r="N145" s="45"/>
    </row>
    <row r="146" spans="2:14" ht="15.75" hidden="1" thickBot="1" x14ac:dyDescent="0.3">
      <c r="B146" s="55" t="str">
        <f t="shared" si="8"/>
        <v>IBATEGUARA</v>
      </c>
      <c r="C146" s="67"/>
      <c r="D146" s="70"/>
      <c r="E146" s="70"/>
      <c r="F146" s="73"/>
      <c r="G146" s="70"/>
      <c r="H146" s="15" t="s">
        <v>20</v>
      </c>
      <c r="I146" s="15" t="s">
        <v>22</v>
      </c>
      <c r="J146" s="15" t="s">
        <v>38</v>
      </c>
      <c r="K146" s="18" t="s">
        <v>18</v>
      </c>
      <c r="L146" s="15" t="s">
        <v>3</v>
      </c>
      <c r="M146" s="16" t="str">
        <f>M132</f>
        <v>-</v>
      </c>
      <c r="N146" s="45" t="s">
        <v>18</v>
      </c>
    </row>
    <row r="147" spans="2:14" ht="15.75" hidden="1" thickBot="1" x14ac:dyDescent="0.3">
      <c r="B147" s="55" t="str">
        <f t="shared" si="8"/>
        <v>IBATEGUARA</v>
      </c>
      <c r="C147" s="67"/>
      <c r="D147" s="70"/>
      <c r="E147" s="70"/>
      <c r="F147" s="73"/>
      <c r="G147" s="70"/>
      <c r="H147" s="15" t="s">
        <v>20</v>
      </c>
      <c r="I147" s="15" t="s">
        <v>25</v>
      </c>
      <c r="J147" s="15" t="s">
        <v>41</v>
      </c>
      <c r="K147" s="18">
        <v>1</v>
      </c>
      <c r="L147" s="15" t="s">
        <v>4</v>
      </c>
      <c r="M147" s="16">
        <f>M130+7</f>
        <v>45940</v>
      </c>
      <c r="N147" s="45"/>
    </row>
    <row r="148" spans="2:14" ht="15.75" hidden="1" thickBot="1" x14ac:dyDescent="0.3">
      <c r="B148" s="55" t="str">
        <f t="shared" si="8"/>
        <v>IBATEGUARA</v>
      </c>
      <c r="C148" s="67"/>
      <c r="D148" s="70"/>
      <c r="E148" s="70"/>
      <c r="F148" s="73"/>
      <c r="G148" s="70"/>
      <c r="H148" s="15" t="s">
        <v>20</v>
      </c>
      <c r="I148" s="15" t="s">
        <v>22</v>
      </c>
      <c r="J148" s="15" t="s">
        <v>42</v>
      </c>
      <c r="K148" s="18">
        <v>0</v>
      </c>
      <c r="L148" s="15" t="s">
        <v>2</v>
      </c>
      <c r="M148" s="16">
        <f>M147+7</f>
        <v>45947</v>
      </c>
      <c r="N148" s="45"/>
    </row>
    <row r="149" spans="2:14" ht="15.75" hidden="1" thickBot="1" x14ac:dyDescent="0.3">
      <c r="B149" s="55" t="str">
        <f t="shared" si="8"/>
        <v>IBATEGUARA</v>
      </c>
      <c r="C149" s="67"/>
      <c r="D149" s="70"/>
      <c r="E149" s="70"/>
      <c r="F149" s="73"/>
      <c r="G149" s="70"/>
      <c r="H149" s="15" t="s">
        <v>20</v>
      </c>
      <c r="I149" s="15" t="s">
        <v>25</v>
      </c>
      <c r="J149" s="15" t="s">
        <v>43</v>
      </c>
      <c r="K149" s="18">
        <v>0</v>
      </c>
      <c r="L149" s="15" t="s">
        <v>2</v>
      </c>
      <c r="M149" s="16">
        <f>M156</f>
        <v>45975</v>
      </c>
      <c r="N149" s="47"/>
    </row>
    <row r="150" spans="2:14" ht="15.75" hidden="1" thickBot="1" x14ac:dyDescent="0.3">
      <c r="B150" s="55" t="str">
        <f t="shared" si="8"/>
        <v>IBATEGUARA</v>
      </c>
      <c r="C150" s="67"/>
      <c r="D150" s="70"/>
      <c r="E150" s="70"/>
      <c r="F150" s="73"/>
      <c r="G150" s="70"/>
      <c r="H150" s="12" t="s">
        <v>30</v>
      </c>
      <c r="I150" s="12" t="s">
        <v>23</v>
      </c>
      <c r="J150" s="12" t="s">
        <v>50</v>
      </c>
      <c r="K150" s="13">
        <v>1</v>
      </c>
      <c r="L150" s="12" t="s">
        <v>4</v>
      </c>
      <c r="M150" s="14">
        <f>M130</f>
        <v>45933</v>
      </c>
      <c r="N150" s="46"/>
    </row>
    <row r="151" spans="2:14" ht="15.75" hidden="1" thickBot="1" x14ac:dyDescent="0.3">
      <c r="B151" s="55" t="str">
        <f t="shared" si="8"/>
        <v>IBATEGUARA</v>
      </c>
      <c r="C151" s="67"/>
      <c r="D151" s="70"/>
      <c r="E151" s="70"/>
      <c r="F151" s="73"/>
      <c r="G151" s="70"/>
      <c r="H151" s="12" t="s">
        <v>30</v>
      </c>
      <c r="I151" s="12" t="s">
        <v>22</v>
      </c>
      <c r="J151" s="12" t="s">
        <v>38</v>
      </c>
      <c r="K151" s="13" t="s">
        <v>18</v>
      </c>
      <c r="L151" s="12" t="s">
        <v>3</v>
      </c>
      <c r="M151" s="14" t="str">
        <f>M132</f>
        <v>-</v>
      </c>
      <c r="N151" s="44" t="s">
        <v>18</v>
      </c>
    </row>
    <row r="152" spans="2:14" ht="15.75" hidden="1" thickBot="1" x14ac:dyDescent="0.3">
      <c r="B152" s="55" t="str">
        <f t="shared" si="8"/>
        <v>IBATEGUARA</v>
      </c>
      <c r="C152" s="67"/>
      <c r="D152" s="70"/>
      <c r="E152" s="70"/>
      <c r="F152" s="73"/>
      <c r="G152" s="70"/>
      <c r="H152" s="12" t="s">
        <v>30</v>
      </c>
      <c r="I152" s="12" t="s">
        <v>25</v>
      </c>
      <c r="J152" s="12" t="s">
        <v>39</v>
      </c>
      <c r="K152" s="13">
        <f>K133</f>
        <v>1</v>
      </c>
      <c r="L152" s="12" t="s">
        <v>4</v>
      </c>
      <c r="M152" s="14" t="str">
        <f>M133</f>
        <v>-</v>
      </c>
      <c r="N152" s="44"/>
    </row>
    <row r="153" spans="2:14" ht="15.75" hidden="1" thickBot="1" x14ac:dyDescent="0.3">
      <c r="B153" s="55" t="str">
        <f t="shared" si="8"/>
        <v>IBATEGUARA</v>
      </c>
      <c r="C153" s="67"/>
      <c r="D153" s="70"/>
      <c r="E153" s="70"/>
      <c r="F153" s="73"/>
      <c r="G153" s="70"/>
      <c r="H153" s="12" t="s">
        <v>30</v>
      </c>
      <c r="I153" s="12" t="s">
        <v>22</v>
      </c>
      <c r="J153" s="12" t="s">
        <v>40</v>
      </c>
      <c r="K153" s="13">
        <f>K134</f>
        <v>1</v>
      </c>
      <c r="L153" s="12" t="s">
        <v>4</v>
      </c>
      <c r="M153" s="14">
        <f>M134</f>
        <v>45926</v>
      </c>
      <c r="N153" s="44"/>
    </row>
    <row r="154" spans="2:14" ht="15.75" hidden="1" thickBot="1" x14ac:dyDescent="0.3">
      <c r="B154" s="55" t="str">
        <f t="shared" si="8"/>
        <v>IBATEGUARA</v>
      </c>
      <c r="C154" s="67"/>
      <c r="D154" s="70"/>
      <c r="E154" s="70"/>
      <c r="F154" s="73"/>
      <c r="G154" s="70"/>
      <c r="H154" s="12" t="s">
        <v>30</v>
      </c>
      <c r="I154" s="12" t="s">
        <v>25</v>
      </c>
      <c r="J154" s="12" t="s">
        <v>41</v>
      </c>
      <c r="K154" s="13">
        <v>1</v>
      </c>
      <c r="L154" s="12" t="s">
        <v>4</v>
      </c>
      <c r="M154" s="14">
        <f>M142+14</f>
        <v>45954</v>
      </c>
      <c r="N154" s="46"/>
    </row>
    <row r="155" spans="2:14" ht="15.75" hidden="1" thickBot="1" x14ac:dyDescent="0.3">
      <c r="B155" s="55" t="str">
        <f t="shared" si="8"/>
        <v>IBATEGUARA</v>
      </c>
      <c r="C155" s="67"/>
      <c r="D155" s="70"/>
      <c r="E155" s="70"/>
      <c r="F155" s="73"/>
      <c r="G155" s="70"/>
      <c r="H155" s="12" t="s">
        <v>30</v>
      </c>
      <c r="I155" s="12" t="s">
        <v>22</v>
      </c>
      <c r="J155" s="12" t="s">
        <v>42</v>
      </c>
      <c r="K155" s="13">
        <v>0</v>
      </c>
      <c r="L155" s="12" t="s">
        <v>2</v>
      </c>
      <c r="M155" s="14">
        <f>M154+7</f>
        <v>45961</v>
      </c>
      <c r="N155" s="46"/>
    </row>
    <row r="156" spans="2:14" ht="15.75" hidden="1" thickBot="1" x14ac:dyDescent="0.3">
      <c r="B156" s="55" t="str">
        <f t="shared" si="8"/>
        <v>IBATEGUARA</v>
      </c>
      <c r="C156" s="67"/>
      <c r="D156" s="70"/>
      <c r="E156" s="70"/>
      <c r="F156" s="73"/>
      <c r="G156" s="70"/>
      <c r="H156" s="12" t="s">
        <v>30</v>
      </c>
      <c r="I156" s="12" t="s">
        <v>25</v>
      </c>
      <c r="J156" s="12" t="s">
        <v>43</v>
      </c>
      <c r="K156" s="13">
        <v>0</v>
      </c>
      <c r="L156" s="12" t="s">
        <v>2</v>
      </c>
      <c r="M156" s="14">
        <f>M155+14</f>
        <v>45975</v>
      </c>
      <c r="N156" s="44"/>
    </row>
    <row r="157" spans="2:14" ht="15.75" hidden="1" thickBot="1" x14ac:dyDescent="0.3">
      <c r="B157" s="55" t="str">
        <f t="shared" si="8"/>
        <v>IBATEGUARA</v>
      </c>
      <c r="C157" s="67"/>
      <c r="D157" s="70"/>
      <c r="E157" s="70"/>
      <c r="F157" s="73"/>
      <c r="G157" s="70"/>
      <c r="H157" s="15" t="s">
        <v>29</v>
      </c>
      <c r="I157" s="15" t="s">
        <v>23</v>
      </c>
      <c r="J157" s="15" t="s">
        <v>46</v>
      </c>
      <c r="K157" s="18">
        <f>K130</f>
        <v>1</v>
      </c>
      <c r="L157" s="15" t="s">
        <v>26</v>
      </c>
      <c r="M157" s="16">
        <f>M130</f>
        <v>45933</v>
      </c>
      <c r="N157" s="47"/>
    </row>
    <row r="158" spans="2:14" ht="15.75" hidden="1" thickBot="1" x14ac:dyDescent="0.3">
      <c r="B158" s="56" t="str">
        <f t="shared" si="8"/>
        <v>IBATEGUARA</v>
      </c>
      <c r="C158" s="68"/>
      <c r="D158" s="71"/>
      <c r="E158" s="71"/>
      <c r="F158" s="74"/>
      <c r="G158" s="71"/>
      <c r="H158" s="50" t="s">
        <v>29</v>
      </c>
      <c r="I158" s="50" t="s">
        <v>25</v>
      </c>
      <c r="J158" s="50" t="s">
        <v>47</v>
      </c>
      <c r="K158" s="51">
        <v>0.9</v>
      </c>
      <c r="L158" s="50" t="s">
        <v>2</v>
      </c>
      <c r="M158" s="52">
        <f>M154+7</f>
        <v>45961</v>
      </c>
      <c r="N158" s="53"/>
    </row>
    <row r="159" spans="2:14" x14ac:dyDescent="0.25">
      <c r="B159" s="38" t="str">
        <f>$C$159</f>
        <v>JACUÍPE</v>
      </c>
      <c r="C159" s="60" t="s">
        <v>12</v>
      </c>
      <c r="D159" s="63">
        <v>45839</v>
      </c>
      <c r="E159" s="63">
        <v>46017</v>
      </c>
      <c r="F159" s="63" t="s">
        <v>2</v>
      </c>
      <c r="G159" s="63">
        <f>N189</f>
        <v>46157</v>
      </c>
      <c r="H159" s="24" t="s">
        <v>17</v>
      </c>
      <c r="I159" s="24" t="s">
        <v>22</v>
      </c>
      <c r="J159" s="24" t="s">
        <v>53</v>
      </c>
      <c r="K159" s="25">
        <v>1</v>
      </c>
      <c r="L159" s="24" t="s">
        <v>4</v>
      </c>
      <c r="M159" s="26" t="s">
        <v>18</v>
      </c>
      <c r="N159" s="27" t="s">
        <v>18</v>
      </c>
    </row>
    <row r="160" spans="2:14" x14ac:dyDescent="0.25">
      <c r="B160" s="43" t="str">
        <f t="shared" ref="B160:B189" si="9">$C$159</f>
        <v>JACUÍPE</v>
      </c>
      <c r="C160" s="61"/>
      <c r="D160" s="64"/>
      <c r="E160" s="64"/>
      <c r="F160" s="64"/>
      <c r="G160" s="64"/>
      <c r="H160" s="3" t="s">
        <v>24</v>
      </c>
      <c r="I160" s="3" t="s">
        <v>22</v>
      </c>
      <c r="J160" s="3" t="s">
        <v>54</v>
      </c>
      <c r="K160" s="11" t="s">
        <v>18</v>
      </c>
      <c r="L160" s="3" t="s">
        <v>3</v>
      </c>
      <c r="M160" s="5" t="s">
        <v>18</v>
      </c>
      <c r="N160" s="29" t="s">
        <v>18</v>
      </c>
    </row>
    <row r="161" spans="2:14" x14ac:dyDescent="0.25">
      <c r="B161" s="43" t="str">
        <f t="shared" si="9"/>
        <v>JACUÍPE</v>
      </c>
      <c r="C161" s="61"/>
      <c r="D161" s="64"/>
      <c r="E161" s="64"/>
      <c r="F161" s="64"/>
      <c r="G161" s="64"/>
      <c r="H161" s="2" t="s">
        <v>49</v>
      </c>
      <c r="I161" s="2" t="s">
        <v>23</v>
      </c>
      <c r="J161" s="2" t="s">
        <v>50</v>
      </c>
      <c r="K161" s="10">
        <v>1</v>
      </c>
      <c r="L161" s="2" t="s">
        <v>4</v>
      </c>
      <c r="M161" s="4">
        <v>46080</v>
      </c>
      <c r="N161" s="30" t="s">
        <v>18</v>
      </c>
    </row>
    <row r="162" spans="2:14" x14ac:dyDescent="0.25">
      <c r="B162" s="43" t="str">
        <f t="shared" si="9"/>
        <v>JACUÍPE</v>
      </c>
      <c r="C162" s="61"/>
      <c r="D162" s="64"/>
      <c r="E162" s="64"/>
      <c r="F162" s="64"/>
      <c r="G162" s="64"/>
      <c r="H162" s="3" t="s">
        <v>1</v>
      </c>
      <c r="I162" s="3" t="s">
        <v>22</v>
      </c>
      <c r="J162" s="3" t="s">
        <v>52</v>
      </c>
      <c r="K162" s="11">
        <v>1</v>
      </c>
      <c r="L162" s="3" t="s">
        <v>4</v>
      </c>
      <c r="M162" s="5" t="s">
        <v>18</v>
      </c>
      <c r="N162" s="31" t="s">
        <v>18</v>
      </c>
    </row>
    <row r="163" spans="2:14" x14ac:dyDescent="0.25">
      <c r="B163" s="43" t="str">
        <f t="shared" si="9"/>
        <v>JACUÍPE</v>
      </c>
      <c r="C163" s="61"/>
      <c r="D163" s="64"/>
      <c r="E163" s="64"/>
      <c r="F163" s="64"/>
      <c r="G163" s="64"/>
      <c r="H163" s="2" t="s">
        <v>16</v>
      </c>
      <c r="I163" s="2" t="s">
        <v>22</v>
      </c>
      <c r="J163" s="2" t="s">
        <v>38</v>
      </c>
      <c r="K163" s="10" t="s">
        <v>18</v>
      </c>
      <c r="L163" s="2" t="s">
        <v>3</v>
      </c>
      <c r="M163" s="4">
        <v>45989</v>
      </c>
      <c r="N163" s="32" t="s">
        <v>18</v>
      </c>
    </row>
    <row r="164" spans="2:14" x14ac:dyDescent="0.25">
      <c r="B164" s="43" t="str">
        <f t="shared" si="9"/>
        <v>JACUÍPE</v>
      </c>
      <c r="C164" s="61"/>
      <c r="D164" s="64"/>
      <c r="E164" s="64"/>
      <c r="F164" s="64"/>
      <c r="G164" s="64"/>
      <c r="H164" s="3" t="s">
        <v>19</v>
      </c>
      <c r="I164" s="3" t="s">
        <v>25</v>
      </c>
      <c r="J164" s="3" t="s">
        <v>39</v>
      </c>
      <c r="K164" s="11">
        <v>1</v>
      </c>
      <c r="L164" s="3" t="s">
        <v>2</v>
      </c>
      <c r="M164" s="5">
        <v>46045</v>
      </c>
      <c r="N164" s="29" t="s">
        <v>18</v>
      </c>
    </row>
    <row r="165" spans="2:14" x14ac:dyDescent="0.25">
      <c r="B165" s="43" t="str">
        <f t="shared" si="9"/>
        <v>JACUÍPE</v>
      </c>
      <c r="C165" s="61"/>
      <c r="D165" s="64"/>
      <c r="E165" s="64"/>
      <c r="F165" s="64"/>
      <c r="G165" s="64"/>
      <c r="H165" s="3" t="s">
        <v>19</v>
      </c>
      <c r="I165" s="3" t="s">
        <v>22</v>
      </c>
      <c r="J165" s="3" t="s">
        <v>40</v>
      </c>
      <c r="K165" s="11">
        <v>1</v>
      </c>
      <c r="L165" s="3" t="s">
        <v>4</v>
      </c>
      <c r="M165" s="5">
        <v>46094</v>
      </c>
      <c r="N165" s="31">
        <v>46115</v>
      </c>
    </row>
    <row r="166" spans="2:14" x14ac:dyDescent="0.25">
      <c r="B166" s="43" t="str">
        <f t="shared" si="9"/>
        <v>JACUÍPE</v>
      </c>
      <c r="C166" s="61"/>
      <c r="D166" s="64"/>
      <c r="E166" s="64"/>
      <c r="F166" s="64"/>
      <c r="G166" s="64"/>
      <c r="H166" s="2" t="s">
        <v>27</v>
      </c>
      <c r="I166" s="2" t="s">
        <v>23</v>
      </c>
      <c r="J166" s="2" t="s">
        <v>50</v>
      </c>
      <c r="K166" s="10">
        <f>K161</f>
        <v>1</v>
      </c>
      <c r="L166" s="2" t="str">
        <f>L161</f>
        <v>Concluído</v>
      </c>
      <c r="M166" s="4">
        <f>M161</f>
        <v>46080</v>
      </c>
      <c r="N166" s="30" t="str">
        <f>N161</f>
        <v>-</v>
      </c>
    </row>
    <row r="167" spans="2:14" x14ac:dyDescent="0.25">
      <c r="B167" s="43" t="str">
        <f t="shared" si="9"/>
        <v>JACUÍPE</v>
      </c>
      <c r="C167" s="61"/>
      <c r="D167" s="64"/>
      <c r="E167" s="64"/>
      <c r="F167" s="64"/>
      <c r="G167" s="64"/>
      <c r="H167" s="2" t="s">
        <v>27</v>
      </c>
      <c r="I167" s="2" t="s">
        <v>22</v>
      </c>
      <c r="J167" s="2" t="s">
        <v>38</v>
      </c>
      <c r="K167" s="10" t="str">
        <f>K163</f>
        <v>-</v>
      </c>
      <c r="L167" s="2" t="str">
        <f>L163</f>
        <v>N/A</v>
      </c>
      <c r="M167" s="4">
        <f>M163</f>
        <v>45989</v>
      </c>
      <c r="N167" s="32" t="s">
        <v>18</v>
      </c>
    </row>
    <row r="168" spans="2:14" x14ac:dyDescent="0.25">
      <c r="B168" s="43" t="str">
        <f t="shared" si="9"/>
        <v>JACUÍPE</v>
      </c>
      <c r="C168" s="61"/>
      <c r="D168" s="64"/>
      <c r="E168" s="64"/>
      <c r="F168" s="64"/>
      <c r="G168" s="64"/>
      <c r="H168" s="2" t="s">
        <v>27</v>
      </c>
      <c r="I168" s="2" t="s">
        <v>25</v>
      </c>
      <c r="J168" s="2" t="s">
        <v>41</v>
      </c>
      <c r="K168" s="10">
        <v>1</v>
      </c>
      <c r="L168" s="2" t="s">
        <v>4</v>
      </c>
      <c r="M168" s="4">
        <v>46094</v>
      </c>
      <c r="N168" s="30">
        <v>46129</v>
      </c>
    </row>
    <row r="169" spans="2:14" x14ac:dyDescent="0.25">
      <c r="B169" s="43" t="str">
        <f t="shared" si="9"/>
        <v>JACUÍPE</v>
      </c>
      <c r="C169" s="61"/>
      <c r="D169" s="64"/>
      <c r="E169" s="64"/>
      <c r="F169" s="64"/>
      <c r="G169" s="64"/>
      <c r="H169" s="2" t="s">
        <v>27</v>
      </c>
      <c r="I169" s="2" t="s">
        <v>22</v>
      </c>
      <c r="J169" s="2" t="s">
        <v>42</v>
      </c>
      <c r="K169" s="10">
        <v>0</v>
      </c>
      <c r="L169" s="2" t="s">
        <v>2</v>
      </c>
      <c r="M169" s="4">
        <f>M168+7</f>
        <v>46101</v>
      </c>
      <c r="N169" s="30">
        <f>N168+7</f>
        <v>46136</v>
      </c>
    </row>
    <row r="170" spans="2:14" x14ac:dyDescent="0.25">
      <c r="B170" s="43" t="str">
        <f t="shared" si="9"/>
        <v>JACUÍPE</v>
      </c>
      <c r="C170" s="61"/>
      <c r="D170" s="64"/>
      <c r="E170" s="64"/>
      <c r="F170" s="64"/>
      <c r="G170" s="64"/>
      <c r="H170" s="2" t="s">
        <v>27</v>
      </c>
      <c r="I170" s="2" t="s">
        <v>25</v>
      </c>
      <c r="J170" s="2" t="s">
        <v>43</v>
      </c>
      <c r="K170" s="10">
        <v>0</v>
      </c>
      <c r="L170" s="2" t="s">
        <v>2</v>
      </c>
      <c r="M170" s="4">
        <f>M175</f>
        <v>46136</v>
      </c>
      <c r="N170" s="30">
        <f>N175</f>
        <v>46157</v>
      </c>
    </row>
    <row r="171" spans="2:14" x14ac:dyDescent="0.25">
      <c r="B171" s="43" t="str">
        <f t="shared" si="9"/>
        <v>JACUÍPE</v>
      </c>
      <c r="C171" s="61"/>
      <c r="D171" s="64"/>
      <c r="E171" s="64"/>
      <c r="F171" s="64"/>
      <c r="G171" s="64"/>
      <c r="H171" s="3" t="s">
        <v>28</v>
      </c>
      <c r="I171" s="3" t="s">
        <v>23</v>
      </c>
      <c r="J171" s="3" t="s">
        <v>50</v>
      </c>
      <c r="K171" s="11">
        <f>K161</f>
        <v>1</v>
      </c>
      <c r="L171" s="3" t="str">
        <f>L161</f>
        <v>Concluído</v>
      </c>
      <c r="M171" s="5">
        <f>M161</f>
        <v>46080</v>
      </c>
      <c r="N171" s="31" t="str">
        <f>N161</f>
        <v>-</v>
      </c>
    </row>
    <row r="172" spans="2:14" x14ac:dyDescent="0.25">
      <c r="B172" s="43" t="str">
        <f t="shared" si="9"/>
        <v>JACUÍPE</v>
      </c>
      <c r="C172" s="61"/>
      <c r="D172" s="64"/>
      <c r="E172" s="64"/>
      <c r="F172" s="64"/>
      <c r="G172" s="64"/>
      <c r="H172" s="3" t="s">
        <v>28</v>
      </c>
      <c r="I172" s="3" t="s">
        <v>22</v>
      </c>
      <c r="J172" s="3" t="s">
        <v>38</v>
      </c>
      <c r="K172" s="11" t="str">
        <f>K163</f>
        <v>-</v>
      </c>
      <c r="L172" s="3" t="str">
        <f>L163</f>
        <v>N/A</v>
      </c>
      <c r="M172" s="5">
        <f>M163</f>
        <v>45989</v>
      </c>
      <c r="N172" s="29" t="s">
        <v>18</v>
      </c>
    </row>
    <row r="173" spans="2:14" x14ac:dyDescent="0.25">
      <c r="B173" s="43" t="str">
        <f t="shared" si="9"/>
        <v>JACUÍPE</v>
      </c>
      <c r="C173" s="61"/>
      <c r="D173" s="64"/>
      <c r="E173" s="64"/>
      <c r="F173" s="64"/>
      <c r="G173" s="64"/>
      <c r="H173" s="3" t="s">
        <v>28</v>
      </c>
      <c r="I173" s="3" t="s">
        <v>25</v>
      </c>
      <c r="J173" s="3" t="s">
        <v>41</v>
      </c>
      <c r="K173" s="11">
        <v>1</v>
      </c>
      <c r="L173" s="3" t="s">
        <v>4</v>
      </c>
      <c r="M173" s="5">
        <v>46101</v>
      </c>
      <c r="N173" s="31">
        <v>46136</v>
      </c>
    </row>
    <row r="174" spans="2:14" x14ac:dyDescent="0.25">
      <c r="B174" s="43" t="str">
        <f t="shared" si="9"/>
        <v>JACUÍPE</v>
      </c>
      <c r="C174" s="61"/>
      <c r="D174" s="64"/>
      <c r="E174" s="64"/>
      <c r="F174" s="64"/>
      <c r="G174" s="64"/>
      <c r="H174" s="3" t="s">
        <v>28</v>
      </c>
      <c r="I174" s="3" t="s">
        <v>22</v>
      </c>
      <c r="J174" s="3" t="s">
        <v>42</v>
      </c>
      <c r="K174" s="11">
        <v>0</v>
      </c>
      <c r="L174" s="3" t="s">
        <v>2</v>
      </c>
      <c r="M174" s="5">
        <f>M173+7</f>
        <v>46108</v>
      </c>
      <c r="N174" s="31">
        <f>N173+7</f>
        <v>46143</v>
      </c>
    </row>
    <row r="175" spans="2:14" x14ac:dyDescent="0.25">
      <c r="B175" s="43" t="str">
        <f t="shared" si="9"/>
        <v>JACUÍPE</v>
      </c>
      <c r="C175" s="61"/>
      <c r="D175" s="64"/>
      <c r="E175" s="64"/>
      <c r="F175" s="64"/>
      <c r="G175" s="64"/>
      <c r="H175" s="3" t="s">
        <v>28</v>
      </c>
      <c r="I175" s="3" t="s">
        <v>25</v>
      </c>
      <c r="J175" s="3" t="s">
        <v>43</v>
      </c>
      <c r="K175" s="11">
        <v>0</v>
      </c>
      <c r="L175" s="3" t="s">
        <v>2</v>
      </c>
      <c r="M175" s="5">
        <f>M180</f>
        <v>46136</v>
      </c>
      <c r="N175" s="31">
        <f>N180</f>
        <v>46157</v>
      </c>
    </row>
    <row r="176" spans="2:14" x14ac:dyDescent="0.25">
      <c r="B176" s="43" t="str">
        <f t="shared" si="9"/>
        <v>JACUÍPE</v>
      </c>
      <c r="C176" s="61"/>
      <c r="D176" s="64"/>
      <c r="E176" s="64"/>
      <c r="F176" s="64"/>
      <c r="G176" s="64"/>
      <c r="H176" s="2" t="s">
        <v>20</v>
      </c>
      <c r="I176" s="2" t="s">
        <v>23</v>
      </c>
      <c r="J176" s="2" t="s">
        <v>50</v>
      </c>
      <c r="K176" s="10">
        <f>K161</f>
        <v>1</v>
      </c>
      <c r="L176" s="2" t="str">
        <f>L161</f>
        <v>Concluído</v>
      </c>
      <c r="M176" s="4">
        <f>M161</f>
        <v>46080</v>
      </c>
      <c r="N176" s="30" t="str">
        <f>N161</f>
        <v>-</v>
      </c>
    </row>
    <row r="177" spans="2:14" x14ac:dyDescent="0.25">
      <c r="B177" s="43" t="str">
        <f t="shared" si="9"/>
        <v>JACUÍPE</v>
      </c>
      <c r="C177" s="61"/>
      <c r="D177" s="64"/>
      <c r="E177" s="64"/>
      <c r="F177" s="64"/>
      <c r="G177" s="64"/>
      <c r="H177" s="2" t="s">
        <v>20</v>
      </c>
      <c r="I177" s="2" t="s">
        <v>22</v>
      </c>
      <c r="J177" s="2" t="s">
        <v>38</v>
      </c>
      <c r="K177" s="10" t="str">
        <f>K163</f>
        <v>-</v>
      </c>
      <c r="L177" s="2" t="str">
        <f>L163</f>
        <v>N/A</v>
      </c>
      <c r="M177" s="4">
        <f>M163</f>
        <v>45989</v>
      </c>
      <c r="N177" s="32" t="s">
        <v>18</v>
      </c>
    </row>
    <row r="178" spans="2:14" x14ac:dyDescent="0.25">
      <c r="B178" s="43" t="str">
        <f t="shared" si="9"/>
        <v>JACUÍPE</v>
      </c>
      <c r="C178" s="61"/>
      <c r="D178" s="64"/>
      <c r="E178" s="64"/>
      <c r="F178" s="64"/>
      <c r="G178" s="64"/>
      <c r="H178" s="2" t="s">
        <v>20</v>
      </c>
      <c r="I178" s="2" t="s">
        <v>25</v>
      </c>
      <c r="J178" s="2" t="s">
        <v>41</v>
      </c>
      <c r="K178" s="10">
        <v>1</v>
      </c>
      <c r="L178" s="2" t="s">
        <v>4</v>
      </c>
      <c r="M178" s="4">
        <f>M173+14</f>
        <v>46115</v>
      </c>
      <c r="N178" s="30">
        <f>N173+7</f>
        <v>46143</v>
      </c>
    </row>
    <row r="179" spans="2:14" x14ac:dyDescent="0.25">
      <c r="B179" s="43" t="str">
        <f t="shared" si="9"/>
        <v>JACUÍPE</v>
      </c>
      <c r="C179" s="61"/>
      <c r="D179" s="64"/>
      <c r="E179" s="64"/>
      <c r="F179" s="64"/>
      <c r="G179" s="64"/>
      <c r="H179" s="2" t="s">
        <v>20</v>
      </c>
      <c r="I179" s="2" t="s">
        <v>22</v>
      </c>
      <c r="J179" s="2" t="s">
        <v>42</v>
      </c>
      <c r="K179" s="10">
        <v>0</v>
      </c>
      <c r="L179" s="2" t="s">
        <v>2</v>
      </c>
      <c r="M179" s="4">
        <f>M178+14</f>
        <v>46129</v>
      </c>
      <c r="N179" s="30">
        <f>N178+14</f>
        <v>46157</v>
      </c>
    </row>
    <row r="180" spans="2:14" x14ac:dyDescent="0.25">
      <c r="B180" s="43" t="str">
        <f t="shared" si="9"/>
        <v>JACUÍPE</v>
      </c>
      <c r="C180" s="61"/>
      <c r="D180" s="64"/>
      <c r="E180" s="64"/>
      <c r="F180" s="64"/>
      <c r="G180" s="64"/>
      <c r="H180" s="2" t="s">
        <v>20</v>
      </c>
      <c r="I180" s="2" t="s">
        <v>25</v>
      </c>
      <c r="J180" s="2" t="s">
        <v>43</v>
      </c>
      <c r="K180" s="10">
        <v>0</v>
      </c>
      <c r="L180" s="2" t="s">
        <v>2</v>
      </c>
      <c r="M180" s="4">
        <f>M189</f>
        <v>46136</v>
      </c>
      <c r="N180" s="30">
        <f>N189</f>
        <v>46157</v>
      </c>
    </row>
    <row r="181" spans="2:14" x14ac:dyDescent="0.25">
      <c r="B181" s="43" t="str">
        <f t="shared" si="9"/>
        <v>JACUÍPE</v>
      </c>
      <c r="C181" s="61"/>
      <c r="D181" s="64"/>
      <c r="E181" s="64"/>
      <c r="F181" s="64"/>
      <c r="G181" s="64"/>
      <c r="H181" s="3" t="s">
        <v>30</v>
      </c>
      <c r="I181" s="3" t="s">
        <v>23</v>
      </c>
      <c r="J181" s="3" t="s">
        <v>50</v>
      </c>
      <c r="K181" s="11">
        <f>K161</f>
        <v>1</v>
      </c>
      <c r="L181" s="3" t="str">
        <f>L161</f>
        <v>Concluído</v>
      </c>
      <c r="M181" s="5">
        <f>M161</f>
        <v>46080</v>
      </c>
      <c r="N181" s="31" t="str">
        <f>N161</f>
        <v>-</v>
      </c>
    </row>
    <row r="182" spans="2:14" x14ac:dyDescent="0.25">
      <c r="B182" s="43" t="str">
        <f t="shared" si="9"/>
        <v>JACUÍPE</v>
      </c>
      <c r="C182" s="61"/>
      <c r="D182" s="64"/>
      <c r="E182" s="64"/>
      <c r="F182" s="64"/>
      <c r="G182" s="64"/>
      <c r="H182" s="3" t="s">
        <v>30</v>
      </c>
      <c r="I182" s="3" t="s">
        <v>22</v>
      </c>
      <c r="J182" s="3" t="s">
        <v>38</v>
      </c>
      <c r="K182" s="11" t="str">
        <f t="shared" ref="K182:M184" si="10">K163</f>
        <v>-</v>
      </c>
      <c r="L182" s="3" t="str">
        <f t="shared" si="10"/>
        <v>N/A</v>
      </c>
      <c r="M182" s="5">
        <f t="shared" si="10"/>
        <v>45989</v>
      </c>
      <c r="N182" s="29" t="s">
        <v>18</v>
      </c>
    </row>
    <row r="183" spans="2:14" x14ac:dyDescent="0.25">
      <c r="B183" s="43" t="str">
        <f t="shared" si="9"/>
        <v>JACUÍPE</v>
      </c>
      <c r="C183" s="61"/>
      <c r="D183" s="64"/>
      <c r="E183" s="64"/>
      <c r="F183" s="64"/>
      <c r="G183" s="64"/>
      <c r="H183" s="3" t="s">
        <v>30</v>
      </c>
      <c r="I183" s="3" t="s">
        <v>25</v>
      </c>
      <c r="J183" s="3" t="s">
        <v>39</v>
      </c>
      <c r="K183" s="11">
        <f t="shared" si="10"/>
        <v>1</v>
      </c>
      <c r="L183" s="3" t="str">
        <f t="shared" si="10"/>
        <v>Pendente</v>
      </c>
      <c r="M183" s="5">
        <f t="shared" si="10"/>
        <v>46045</v>
      </c>
      <c r="N183" s="31" t="str">
        <f t="shared" ref="N183" si="11">N164</f>
        <v>-</v>
      </c>
    </row>
    <row r="184" spans="2:14" x14ac:dyDescent="0.25">
      <c r="B184" s="43" t="str">
        <f t="shared" si="9"/>
        <v>JACUÍPE</v>
      </c>
      <c r="C184" s="61"/>
      <c r="D184" s="64"/>
      <c r="E184" s="64"/>
      <c r="F184" s="64"/>
      <c r="G184" s="64"/>
      <c r="H184" s="3" t="s">
        <v>30</v>
      </c>
      <c r="I184" s="3" t="s">
        <v>22</v>
      </c>
      <c r="J184" s="3" t="s">
        <v>40</v>
      </c>
      <c r="K184" s="11">
        <f t="shared" si="10"/>
        <v>1</v>
      </c>
      <c r="L184" s="3" t="str">
        <f t="shared" si="10"/>
        <v>Concluído</v>
      </c>
      <c r="M184" s="5">
        <f t="shared" si="10"/>
        <v>46094</v>
      </c>
      <c r="N184" s="31">
        <f t="shared" ref="N184" si="12">N165</f>
        <v>46115</v>
      </c>
    </row>
    <row r="185" spans="2:14" x14ac:dyDescent="0.25">
      <c r="B185" s="43" t="str">
        <f t="shared" si="9"/>
        <v>JACUÍPE</v>
      </c>
      <c r="C185" s="61"/>
      <c r="D185" s="64"/>
      <c r="E185" s="64"/>
      <c r="F185" s="64"/>
      <c r="G185" s="64"/>
      <c r="H185" s="3" t="s">
        <v>30</v>
      </c>
      <c r="I185" s="3" t="s">
        <v>25</v>
      </c>
      <c r="J185" s="3" t="s">
        <v>41</v>
      </c>
      <c r="K185" s="11">
        <v>1</v>
      </c>
      <c r="L185" s="3" t="s">
        <v>4</v>
      </c>
      <c r="M185" s="5">
        <f>M174+21</f>
        <v>46129</v>
      </c>
      <c r="N185" s="31">
        <f>N174+14</f>
        <v>46157</v>
      </c>
    </row>
    <row r="186" spans="2:14" x14ac:dyDescent="0.25">
      <c r="B186" s="43" t="str">
        <f t="shared" si="9"/>
        <v>JACUÍPE</v>
      </c>
      <c r="C186" s="61"/>
      <c r="D186" s="64"/>
      <c r="E186" s="64"/>
      <c r="F186" s="64"/>
      <c r="G186" s="64"/>
      <c r="H186" s="3" t="s">
        <v>30</v>
      </c>
      <c r="I186" s="3" t="s">
        <v>22</v>
      </c>
      <c r="J186" s="3" t="s">
        <v>42</v>
      </c>
      <c r="K186" s="11">
        <v>0</v>
      </c>
      <c r="L186" s="3" t="s">
        <v>2</v>
      </c>
      <c r="M186" s="5">
        <f>M185+7</f>
        <v>46136</v>
      </c>
      <c r="N186" s="31">
        <f>N185+7</f>
        <v>46164</v>
      </c>
    </row>
    <row r="187" spans="2:14" x14ac:dyDescent="0.25">
      <c r="B187" s="43" t="str">
        <f t="shared" si="9"/>
        <v>JACUÍPE</v>
      </c>
      <c r="C187" s="61"/>
      <c r="D187" s="64"/>
      <c r="E187" s="64"/>
      <c r="F187" s="64"/>
      <c r="G187" s="64"/>
      <c r="H187" s="3" t="s">
        <v>30</v>
      </c>
      <c r="I187" s="3" t="s">
        <v>25</v>
      </c>
      <c r="J187" s="3" t="s">
        <v>43</v>
      </c>
      <c r="K187" s="11">
        <v>0</v>
      </c>
      <c r="L187" s="3" t="s">
        <v>2</v>
      </c>
      <c r="M187" s="5">
        <f>M186+14</f>
        <v>46150</v>
      </c>
      <c r="N187" s="31">
        <f>N186+14</f>
        <v>46178</v>
      </c>
    </row>
    <row r="188" spans="2:14" x14ac:dyDescent="0.25">
      <c r="B188" s="43" t="str">
        <f t="shared" si="9"/>
        <v>JACUÍPE</v>
      </c>
      <c r="C188" s="61"/>
      <c r="D188" s="64"/>
      <c r="E188" s="64"/>
      <c r="F188" s="64"/>
      <c r="G188" s="64"/>
      <c r="H188" s="2" t="s">
        <v>29</v>
      </c>
      <c r="I188" s="2" t="s">
        <v>23</v>
      </c>
      <c r="J188" s="2" t="s">
        <v>46</v>
      </c>
      <c r="K188" s="10">
        <f>K161</f>
        <v>1</v>
      </c>
      <c r="L188" s="2" t="str">
        <f>L161</f>
        <v>Concluído</v>
      </c>
      <c r="M188" s="4">
        <f>M161</f>
        <v>46080</v>
      </c>
      <c r="N188" s="30" t="str">
        <f>N161</f>
        <v>-</v>
      </c>
    </row>
    <row r="189" spans="2:14" ht="15.75" thickBot="1" x14ac:dyDescent="0.3">
      <c r="B189" s="49" t="str">
        <f t="shared" si="9"/>
        <v>JACUÍPE</v>
      </c>
      <c r="C189" s="62"/>
      <c r="D189" s="65"/>
      <c r="E189" s="65"/>
      <c r="F189" s="65"/>
      <c r="G189" s="65"/>
      <c r="H189" s="34" t="s">
        <v>29</v>
      </c>
      <c r="I189" s="34" t="s">
        <v>25</v>
      </c>
      <c r="J189" s="34" t="s">
        <v>47</v>
      </c>
      <c r="K189" s="35">
        <v>0</v>
      </c>
      <c r="L189" s="34" t="s">
        <v>2</v>
      </c>
      <c r="M189" s="36">
        <f>M185+7</f>
        <v>46136</v>
      </c>
      <c r="N189" s="37">
        <f>N185</f>
        <v>46157</v>
      </c>
    </row>
    <row r="190" spans="2:14" ht="15.75" hidden="1" thickBot="1" x14ac:dyDescent="0.3">
      <c r="B190" s="54" t="str">
        <f>$C$190</f>
        <v>PASSO DE CAMARAGIBE</v>
      </c>
      <c r="C190" s="66" t="s">
        <v>13</v>
      </c>
      <c r="D190" s="69">
        <v>45839</v>
      </c>
      <c r="E190" s="69">
        <v>46017</v>
      </c>
      <c r="F190" s="69" t="s">
        <v>4</v>
      </c>
      <c r="G190" s="69">
        <f>M220</f>
        <v>45996</v>
      </c>
      <c r="H190" s="39" t="s">
        <v>17</v>
      </c>
      <c r="I190" s="39" t="s">
        <v>22</v>
      </c>
      <c r="J190" s="39" t="s">
        <v>53</v>
      </c>
      <c r="K190" s="40">
        <v>1</v>
      </c>
      <c r="L190" s="39" t="s">
        <v>4</v>
      </c>
      <c r="M190" s="41" t="s">
        <v>18</v>
      </c>
      <c r="N190" s="42" t="s">
        <v>18</v>
      </c>
    </row>
    <row r="191" spans="2:14" ht="15.75" hidden="1" thickBot="1" x14ac:dyDescent="0.3">
      <c r="B191" s="55" t="str">
        <f t="shared" ref="B191:B220" si="13">$C$190</f>
        <v>PASSO DE CAMARAGIBE</v>
      </c>
      <c r="C191" s="67"/>
      <c r="D191" s="70"/>
      <c r="E191" s="70"/>
      <c r="F191" s="70"/>
      <c r="G191" s="70"/>
      <c r="H191" s="12" t="s">
        <v>24</v>
      </c>
      <c r="I191" s="12" t="s">
        <v>22</v>
      </c>
      <c r="J191" s="12" t="s">
        <v>54</v>
      </c>
      <c r="K191" s="13" t="s">
        <v>18</v>
      </c>
      <c r="L191" s="12" t="s">
        <v>3</v>
      </c>
      <c r="M191" s="14" t="s">
        <v>18</v>
      </c>
      <c r="N191" s="44" t="s">
        <v>18</v>
      </c>
    </row>
    <row r="192" spans="2:14" ht="15.75" hidden="1" thickBot="1" x14ac:dyDescent="0.3">
      <c r="B192" s="55" t="str">
        <f t="shared" si="13"/>
        <v>PASSO DE CAMARAGIBE</v>
      </c>
      <c r="C192" s="67"/>
      <c r="D192" s="70"/>
      <c r="E192" s="70"/>
      <c r="F192" s="70"/>
      <c r="G192" s="70"/>
      <c r="H192" s="15" t="s">
        <v>49</v>
      </c>
      <c r="I192" s="15" t="s">
        <v>23</v>
      </c>
      <c r="J192" s="15" t="s">
        <v>50</v>
      </c>
      <c r="K192" s="18">
        <v>1</v>
      </c>
      <c r="L192" s="15" t="s">
        <v>4</v>
      </c>
      <c r="M192" s="16">
        <v>45968</v>
      </c>
      <c r="N192" s="45">
        <v>45980</v>
      </c>
    </row>
    <row r="193" spans="2:14" ht="15.75" hidden="1" thickBot="1" x14ac:dyDescent="0.3">
      <c r="B193" s="55" t="str">
        <f t="shared" si="13"/>
        <v>PASSO DE CAMARAGIBE</v>
      </c>
      <c r="C193" s="67"/>
      <c r="D193" s="70"/>
      <c r="E193" s="70"/>
      <c r="F193" s="70"/>
      <c r="G193" s="70"/>
      <c r="H193" s="12" t="s">
        <v>1</v>
      </c>
      <c r="I193" s="12" t="s">
        <v>22</v>
      </c>
      <c r="J193" s="12" t="s">
        <v>52</v>
      </c>
      <c r="K193" s="13">
        <v>1</v>
      </c>
      <c r="L193" s="12" t="s">
        <v>4</v>
      </c>
      <c r="M193" s="14" t="s">
        <v>18</v>
      </c>
      <c r="N193" s="46"/>
    </row>
    <row r="194" spans="2:14" ht="15.75" hidden="1" thickBot="1" x14ac:dyDescent="0.3">
      <c r="B194" s="55" t="str">
        <f t="shared" si="13"/>
        <v>PASSO DE CAMARAGIBE</v>
      </c>
      <c r="C194" s="67"/>
      <c r="D194" s="70"/>
      <c r="E194" s="70"/>
      <c r="F194" s="70"/>
      <c r="G194" s="70"/>
      <c r="H194" s="15" t="s">
        <v>16</v>
      </c>
      <c r="I194" s="15" t="s">
        <v>22</v>
      </c>
      <c r="J194" s="15" t="s">
        <v>38</v>
      </c>
      <c r="K194" s="18">
        <v>1</v>
      </c>
      <c r="L194" s="15" t="s">
        <v>4</v>
      </c>
      <c r="M194" s="16">
        <v>45947</v>
      </c>
      <c r="N194" s="45">
        <v>45940</v>
      </c>
    </row>
    <row r="195" spans="2:14" ht="15.75" hidden="1" thickBot="1" x14ac:dyDescent="0.3">
      <c r="B195" s="55" t="str">
        <f t="shared" si="13"/>
        <v>PASSO DE CAMARAGIBE</v>
      </c>
      <c r="C195" s="67"/>
      <c r="D195" s="70"/>
      <c r="E195" s="70"/>
      <c r="F195" s="70"/>
      <c r="G195" s="70"/>
      <c r="H195" s="12" t="s">
        <v>19</v>
      </c>
      <c r="I195" s="12" t="s">
        <v>25</v>
      </c>
      <c r="J195" s="12" t="s">
        <v>39</v>
      </c>
      <c r="K195" s="13">
        <v>1</v>
      </c>
      <c r="L195" s="12" t="s">
        <v>4</v>
      </c>
      <c r="M195" s="14" t="s">
        <v>18</v>
      </c>
      <c r="N195" s="44"/>
    </row>
    <row r="196" spans="2:14" ht="15.75" hidden="1" thickBot="1" x14ac:dyDescent="0.3">
      <c r="B196" s="55" t="str">
        <f t="shared" si="13"/>
        <v>PASSO DE CAMARAGIBE</v>
      </c>
      <c r="C196" s="67"/>
      <c r="D196" s="70"/>
      <c r="E196" s="70"/>
      <c r="F196" s="70"/>
      <c r="G196" s="70"/>
      <c r="H196" s="12" t="s">
        <v>19</v>
      </c>
      <c r="I196" s="12" t="s">
        <v>22</v>
      </c>
      <c r="J196" s="12" t="s">
        <v>40</v>
      </c>
      <c r="K196" s="13">
        <v>1</v>
      </c>
      <c r="L196" s="12" t="s">
        <v>4</v>
      </c>
      <c r="M196" s="14">
        <v>45954</v>
      </c>
      <c r="N196" s="46">
        <v>46003</v>
      </c>
    </row>
    <row r="197" spans="2:14" ht="15.75" hidden="1" thickBot="1" x14ac:dyDescent="0.3">
      <c r="B197" s="55" t="str">
        <f t="shared" si="13"/>
        <v>PASSO DE CAMARAGIBE</v>
      </c>
      <c r="C197" s="67"/>
      <c r="D197" s="70"/>
      <c r="E197" s="70"/>
      <c r="F197" s="70"/>
      <c r="G197" s="70"/>
      <c r="H197" s="15" t="s">
        <v>27</v>
      </c>
      <c r="I197" s="15" t="s">
        <v>23</v>
      </c>
      <c r="J197" s="15" t="s">
        <v>50</v>
      </c>
      <c r="K197" s="17">
        <f>K192</f>
        <v>1</v>
      </c>
      <c r="L197" s="15" t="str">
        <f>L192</f>
        <v>Concluído</v>
      </c>
      <c r="M197" s="16">
        <f>M192</f>
        <v>45968</v>
      </c>
      <c r="N197" s="45">
        <v>45980</v>
      </c>
    </row>
    <row r="198" spans="2:14" ht="15.75" hidden="1" thickBot="1" x14ac:dyDescent="0.3">
      <c r="B198" s="55" t="str">
        <f t="shared" si="13"/>
        <v>PASSO DE CAMARAGIBE</v>
      </c>
      <c r="C198" s="67"/>
      <c r="D198" s="70"/>
      <c r="E198" s="70"/>
      <c r="F198" s="70"/>
      <c r="G198" s="70"/>
      <c r="H198" s="15" t="s">
        <v>27</v>
      </c>
      <c r="I198" s="15" t="s">
        <v>22</v>
      </c>
      <c r="J198" s="15" t="s">
        <v>38</v>
      </c>
      <c r="K198" s="18">
        <f>K194</f>
        <v>1</v>
      </c>
      <c r="L198" s="15" t="str">
        <f>L194</f>
        <v>Concluído</v>
      </c>
      <c r="M198" s="16">
        <f>M194</f>
        <v>45947</v>
      </c>
      <c r="N198" s="47" t="s">
        <v>18</v>
      </c>
    </row>
    <row r="199" spans="2:14" ht="15.75" hidden="1" thickBot="1" x14ac:dyDescent="0.3">
      <c r="B199" s="55" t="str">
        <f t="shared" si="13"/>
        <v>PASSO DE CAMARAGIBE</v>
      </c>
      <c r="C199" s="67"/>
      <c r="D199" s="70"/>
      <c r="E199" s="70"/>
      <c r="F199" s="70"/>
      <c r="G199" s="70"/>
      <c r="H199" s="15" t="s">
        <v>27</v>
      </c>
      <c r="I199" s="15" t="s">
        <v>25</v>
      </c>
      <c r="J199" s="15" t="s">
        <v>41</v>
      </c>
      <c r="K199" s="18">
        <v>1</v>
      </c>
      <c r="L199" s="15" t="s">
        <v>4</v>
      </c>
      <c r="M199" s="16">
        <v>45954</v>
      </c>
      <c r="N199" s="45">
        <v>45989</v>
      </c>
    </row>
    <row r="200" spans="2:14" ht="15.75" hidden="1" thickBot="1" x14ac:dyDescent="0.3">
      <c r="B200" s="55" t="str">
        <f t="shared" si="13"/>
        <v>PASSO DE CAMARAGIBE</v>
      </c>
      <c r="C200" s="67"/>
      <c r="D200" s="70"/>
      <c r="E200" s="70"/>
      <c r="F200" s="70"/>
      <c r="G200" s="70"/>
      <c r="H200" s="15" t="s">
        <v>27</v>
      </c>
      <c r="I200" s="15" t="s">
        <v>22</v>
      </c>
      <c r="J200" s="15" t="s">
        <v>42</v>
      </c>
      <c r="K200" s="18">
        <v>1</v>
      </c>
      <c r="L200" s="15" t="s">
        <v>4</v>
      </c>
      <c r="M200" s="16">
        <f>M199+7</f>
        <v>45961</v>
      </c>
      <c r="N200" s="45">
        <v>46043</v>
      </c>
    </row>
    <row r="201" spans="2:14" ht="15.75" hidden="1" thickBot="1" x14ac:dyDescent="0.3">
      <c r="B201" s="55" t="str">
        <f t="shared" si="13"/>
        <v>PASSO DE CAMARAGIBE</v>
      </c>
      <c r="C201" s="67"/>
      <c r="D201" s="70"/>
      <c r="E201" s="70"/>
      <c r="F201" s="70"/>
      <c r="G201" s="70"/>
      <c r="H201" s="15" t="s">
        <v>27</v>
      </c>
      <c r="I201" s="15" t="s">
        <v>25</v>
      </c>
      <c r="J201" s="15" t="s">
        <v>43</v>
      </c>
      <c r="K201" s="18">
        <v>0</v>
      </c>
      <c r="L201" s="15" t="s">
        <v>2</v>
      </c>
      <c r="M201" s="16">
        <f>M206</f>
        <v>45996</v>
      </c>
      <c r="N201" s="45">
        <v>46059</v>
      </c>
    </row>
    <row r="202" spans="2:14" ht="15.75" hidden="1" thickBot="1" x14ac:dyDescent="0.3">
      <c r="B202" s="55" t="str">
        <f t="shared" si="13"/>
        <v>PASSO DE CAMARAGIBE</v>
      </c>
      <c r="C202" s="67"/>
      <c r="D202" s="70"/>
      <c r="E202" s="70"/>
      <c r="F202" s="70"/>
      <c r="G202" s="70"/>
      <c r="H202" s="12" t="s">
        <v>28</v>
      </c>
      <c r="I202" s="12" t="s">
        <v>23</v>
      </c>
      <c r="J202" s="12" t="s">
        <v>50</v>
      </c>
      <c r="K202" s="13">
        <f>K192</f>
        <v>1</v>
      </c>
      <c r="L202" s="12" t="str">
        <f>L192</f>
        <v>Concluído</v>
      </c>
      <c r="M202" s="14">
        <f>M192</f>
        <v>45968</v>
      </c>
      <c r="N202" s="46">
        <v>45980</v>
      </c>
    </row>
    <row r="203" spans="2:14" ht="15.75" hidden="1" thickBot="1" x14ac:dyDescent="0.3">
      <c r="B203" s="55" t="str">
        <f t="shared" si="13"/>
        <v>PASSO DE CAMARAGIBE</v>
      </c>
      <c r="C203" s="67"/>
      <c r="D203" s="70"/>
      <c r="E203" s="70"/>
      <c r="F203" s="70"/>
      <c r="G203" s="70"/>
      <c r="H203" s="12" t="s">
        <v>28</v>
      </c>
      <c r="I203" s="12" t="s">
        <v>22</v>
      </c>
      <c r="J203" s="12" t="s">
        <v>38</v>
      </c>
      <c r="K203" s="13">
        <f>K194</f>
        <v>1</v>
      </c>
      <c r="L203" s="12" t="str">
        <f>L194</f>
        <v>Concluído</v>
      </c>
      <c r="M203" s="14">
        <f>M194</f>
        <v>45947</v>
      </c>
      <c r="N203" s="44" t="s">
        <v>18</v>
      </c>
    </row>
    <row r="204" spans="2:14" ht="15.75" hidden="1" thickBot="1" x14ac:dyDescent="0.3">
      <c r="B204" s="55" t="str">
        <f t="shared" si="13"/>
        <v>PASSO DE CAMARAGIBE</v>
      </c>
      <c r="C204" s="67"/>
      <c r="D204" s="70"/>
      <c r="E204" s="70"/>
      <c r="F204" s="70"/>
      <c r="G204" s="70"/>
      <c r="H204" s="12" t="s">
        <v>28</v>
      </c>
      <c r="I204" s="12" t="s">
        <v>25</v>
      </c>
      <c r="J204" s="12" t="s">
        <v>41</v>
      </c>
      <c r="K204" s="13">
        <v>1</v>
      </c>
      <c r="L204" s="12" t="s">
        <v>4</v>
      </c>
      <c r="M204" s="14">
        <f>M199</f>
        <v>45954</v>
      </c>
      <c r="N204" s="46">
        <v>45999</v>
      </c>
    </row>
    <row r="205" spans="2:14" ht="15.75" hidden="1" thickBot="1" x14ac:dyDescent="0.3">
      <c r="B205" s="55" t="str">
        <f t="shared" si="13"/>
        <v>PASSO DE CAMARAGIBE</v>
      </c>
      <c r="C205" s="67"/>
      <c r="D205" s="70"/>
      <c r="E205" s="70"/>
      <c r="F205" s="70"/>
      <c r="G205" s="70"/>
      <c r="H205" s="12" t="s">
        <v>28</v>
      </c>
      <c r="I205" s="12" t="s">
        <v>22</v>
      </c>
      <c r="J205" s="12" t="s">
        <v>42</v>
      </c>
      <c r="K205" s="13">
        <v>1</v>
      </c>
      <c r="L205" s="12" t="s">
        <v>4</v>
      </c>
      <c r="M205" s="14">
        <f>M204+7</f>
        <v>45961</v>
      </c>
      <c r="N205" s="46">
        <f>N200</f>
        <v>46043</v>
      </c>
    </row>
    <row r="206" spans="2:14" ht="15.75" hidden="1" thickBot="1" x14ac:dyDescent="0.3">
      <c r="B206" s="55" t="str">
        <f t="shared" si="13"/>
        <v>PASSO DE CAMARAGIBE</v>
      </c>
      <c r="C206" s="67"/>
      <c r="D206" s="70"/>
      <c r="E206" s="70"/>
      <c r="F206" s="70"/>
      <c r="G206" s="70"/>
      <c r="H206" s="12" t="s">
        <v>28</v>
      </c>
      <c r="I206" s="12" t="s">
        <v>25</v>
      </c>
      <c r="J206" s="12" t="s">
        <v>43</v>
      </c>
      <c r="K206" s="13">
        <v>0</v>
      </c>
      <c r="L206" s="12" t="s">
        <v>2</v>
      </c>
      <c r="M206" s="14">
        <f>M211</f>
        <v>45996</v>
      </c>
      <c r="N206" s="46">
        <f>N201</f>
        <v>46059</v>
      </c>
    </row>
    <row r="207" spans="2:14" ht="15.75" hidden="1" thickBot="1" x14ac:dyDescent="0.3">
      <c r="B207" s="55" t="str">
        <f t="shared" si="13"/>
        <v>PASSO DE CAMARAGIBE</v>
      </c>
      <c r="C207" s="67"/>
      <c r="D207" s="70"/>
      <c r="E207" s="70"/>
      <c r="F207" s="70"/>
      <c r="G207" s="70"/>
      <c r="H207" s="15" t="s">
        <v>20</v>
      </c>
      <c r="I207" s="15" t="s">
        <v>23</v>
      </c>
      <c r="J207" s="15" t="s">
        <v>50</v>
      </c>
      <c r="K207" s="18">
        <f>K192</f>
        <v>1</v>
      </c>
      <c r="L207" s="15" t="str">
        <f>L192</f>
        <v>Concluído</v>
      </c>
      <c r="M207" s="16">
        <f>M192</f>
        <v>45968</v>
      </c>
      <c r="N207" s="45">
        <v>45980</v>
      </c>
    </row>
    <row r="208" spans="2:14" ht="15.75" hidden="1" thickBot="1" x14ac:dyDescent="0.3">
      <c r="B208" s="55" t="str">
        <f t="shared" si="13"/>
        <v>PASSO DE CAMARAGIBE</v>
      </c>
      <c r="C208" s="67"/>
      <c r="D208" s="70"/>
      <c r="E208" s="70"/>
      <c r="F208" s="70"/>
      <c r="G208" s="70"/>
      <c r="H208" s="15" t="s">
        <v>20</v>
      </c>
      <c r="I208" s="15" t="s">
        <v>22</v>
      </c>
      <c r="J208" s="15" t="s">
        <v>38</v>
      </c>
      <c r="K208" s="18">
        <f>K194</f>
        <v>1</v>
      </c>
      <c r="L208" s="15" t="str">
        <f>L194</f>
        <v>Concluído</v>
      </c>
      <c r="M208" s="16">
        <f>M194</f>
        <v>45947</v>
      </c>
      <c r="N208" s="47" t="s">
        <v>18</v>
      </c>
    </row>
    <row r="209" spans="2:14" ht="15.75" hidden="1" thickBot="1" x14ac:dyDescent="0.3">
      <c r="B209" s="55" t="str">
        <f t="shared" si="13"/>
        <v>PASSO DE CAMARAGIBE</v>
      </c>
      <c r="C209" s="67"/>
      <c r="D209" s="70"/>
      <c r="E209" s="70"/>
      <c r="F209" s="70"/>
      <c r="G209" s="70"/>
      <c r="H209" s="15" t="s">
        <v>20</v>
      </c>
      <c r="I209" s="15" t="s">
        <v>25</v>
      </c>
      <c r="J209" s="15" t="s">
        <v>41</v>
      </c>
      <c r="K209" s="18">
        <v>1</v>
      </c>
      <c r="L209" s="15" t="s">
        <v>4</v>
      </c>
      <c r="M209" s="16">
        <f>M204+21</f>
        <v>45975</v>
      </c>
      <c r="N209" s="45">
        <v>46031</v>
      </c>
    </row>
    <row r="210" spans="2:14" ht="15.75" hidden="1" thickBot="1" x14ac:dyDescent="0.3">
      <c r="B210" s="55" t="str">
        <f t="shared" si="13"/>
        <v>PASSO DE CAMARAGIBE</v>
      </c>
      <c r="C210" s="67"/>
      <c r="D210" s="70"/>
      <c r="E210" s="70"/>
      <c r="F210" s="70"/>
      <c r="G210" s="70"/>
      <c r="H210" s="15" t="s">
        <v>20</v>
      </c>
      <c r="I210" s="15" t="s">
        <v>22</v>
      </c>
      <c r="J210" s="15" t="s">
        <v>42</v>
      </c>
      <c r="K210" s="18">
        <v>0</v>
      </c>
      <c r="L210" s="15" t="s">
        <v>2</v>
      </c>
      <c r="M210" s="16">
        <f>M209+14</f>
        <v>45989</v>
      </c>
      <c r="N210" s="45"/>
    </row>
    <row r="211" spans="2:14" ht="15.75" hidden="1" thickBot="1" x14ac:dyDescent="0.3">
      <c r="B211" s="55" t="str">
        <f t="shared" si="13"/>
        <v>PASSO DE CAMARAGIBE</v>
      </c>
      <c r="C211" s="67"/>
      <c r="D211" s="70"/>
      <c r="E211" s="70"/>
      <c r="F211" s="70"/>
      <c r="G211" s="70"/>
      <c r="H211" s="15" t="s">
        <v>20</v>
      </c>
      <c r="I211" s="15" t="s">
        <v>25</v>
      </c>
      <c r="J211" s="15" t="s">
        <v>43</v>
      </c>
      <c r="K211" s="18">
        <v>0</v>
      </c>
      <c r="L211" s="15" t="s">
        <v>2</v>
      </c>
      <c r="M211" s="16">
        <f>M220</f>
        <v>45996</v>
      </c>
      <c r="N211" s="47"/>
    </row>
    <row r="212" spans="2:14" ht="15.75" hidden="1" thickBot="1" x14ac:dyDescent="0.3">
      <c r="B212" s="55" t="str">
        <f t="shared" si="13"/>
        <v>PASSO DE CAMARAGIBE</v>
      </c>
      <c r="C212" s="67"/>
      <c r="D212" s="70"/>
      <c r="E212" s="70"/>
      <c r="F212" s="70"/>
      <c r="G212" s="70"/>
      <c r="H212" s="12" t="s">
        <v>30</v>
      </c>
      <c r="I212" s="12" t="s">
        <v>23</v>
      </c>
      <c r="J212" s="12" t="s">
        <v>50</v>
      </c>
      <c r="K212" s="13">
        <f>K192</f>
        <v>1</v>
      </c>
      <c r="L212" s="12" t="str">
        <f>L192</f>
        <v>Concluído</v>
      </c>
      <c r="M212" s="14">
        <f>M192</f>
        <v>45968</v>
      </c>
      <c r="N212" s="46"/>
    </row>
    <row r="213" spans="2:14" ht="15.75" hidden="1" thickBot="1" x14ac:dyDescent="0.3">
      <c r="B213" s="55" t="str">
        <f t="shared" si="13"/>
        <v>PASSO DE CAMARAGIBE</v>
      </c>
      <c r="C213" s="67"/>
      <c r="D213" s="70"/>
      <c r="E213" s="70"/>
      <c r="F213" s="70"/>
      <c r="G213" s="70"/>
      <c r="H213" s="12" t="s">
        <v>30</v>
      </c>
      <c r="I213" s="12" t="s">
        <v>22</v>
      </c>
      <c r="J213" s="12" t="s">
        <v>38</v>
      </c>
      <c r="K213" s="13">
        <f t="shared" ref="K213:M215" si="14">K194</f>
        <v>1</v>
      </c>
      <c r="L213" s="12" t="str">
        <f t="shared" si="14"/>
        <v>Concluído</v>
      </c>
      <c r="M213" s="14">
        <f t="shared" si="14"/>
        <v>45947</v>
      </c>
      <c r="N213" s="44" t="s">
        <v>18</v>
      </c>
    </row>
    <row r="214" spans="2:14" ht="15.75" hidden="1" thickBot="1" x14ac:dyDescent="0.3">
      <c r="B214" s="55" t="str">
        <f t="shared" si="13"/>
        <v>PASSO DE CAMARAGIBE</v>
      </c>
      <c r="C214" s="67"/>
      <c r="D214" s="70"/>
      <c r="E214" s="70"/>
      <c r="F214" s="70"/>
      <c r="G214" s="70"/>
      <c r="H214" s="12" t="s">
        <v>30</v>
      </c>
      <c r="I214" s="12" t="s">
        <v>25</v>
      </c>
      <c r="J214" s="12" t="s">
        <v>39</v>
      </c>
      <c r="K214" s="13">
        <f t="shared" si="14"/>
        <v>1</v>
      </c>
      <c r="L214" s="12" t="str">
        <f t="shared" si="14"/>
        <v>Concluído</v>
      </c>
      <c r="M214" s="14" t="str">
        <f t="shared" si="14"/>
        <v>-</v>
      </c>
      <c r="N214" s="44"/>
    </row>
    <row r="215" spans="2:14" ht="15.75" hidden="1" thickBot="1" x14ac:dyDescent="0.3">
      <c r="B215" s="55" t="str">
        <f t="shared" si="13"/>
        <v>PASSO DE CAMARAGIBE</v>
      </c>
      <c r="C215" s="67"/>
      <c r="D215" s="70"/>
      <c r="E215" s="70"/>
      <c r="F215" s="70"/>
      <c r="G215" s="70"/>
      <c r="H215" s="12" t="s">
        <v>30</v>
      </c>
      <c r="I215" s="12" t="s">
        <v>22</v>
      </c>
      <c r="J215" s="12" t="s">
        <v>40</v>
      </c>
      <c r="K215" s="13">
        <f t="shared" si="14"/>
        <v>1</v>
      </c>
      <c r="L215" s="12" t="str">
        <f t="shared" si="14"/>
        <v>Concluído</v>
      </c>
      <c r="M215" s="14">
        <f t="shared" si="14"/>
        <v>45954</v>
      </c>
      <c r="N215" s="44"/>
    </row>
    <row r="216" spans="2:14" ht="15.75" hidden="1" thickBot="1" x14ac:dyDescent="0.3">
      <c r="B216" s="55" t="str">
        <f t="shared" si="13"/>
        <v>PASSO DE CAMARAGIBE</v>
      </c>
      <c r="C216" s="67"/>
      <c r="D216" s="70"/>
      <c r="E216" s="70"/>
      <c r="F216" s="70"/>
      <c r="G216" s="70"/>
      <c r="H216" s="12" t="s">
        <v>30</v>
      </c>
      <c r="I216" s="12" t="s">
        <v>25</v>
      </c>
      <c r="J216" s="12" t="s">
        <v>41</v>
      </c>
      <c r="K216" s="13">
        <v>1</v>
      </c>
      <c r="L216" s="12" t="s">
        <v>4</v>
      </c>
      <c r="M216" s="14">
        <f>M205+28</f>
        <v>45989</v>
      </c>
      <c r="N216" s="46">
        <v>46003</v>
      </c>
    </row>
    <row r="217" spans="2:14" ht="15.75" hidden="1" thickBot="1" x14ac:dyDescent="0.3">
      <c r="B217" s="55" t="str">
        <f t="shared" si="13"/>
        <v>PASSO DE CAMARAGIBE</v>
      </c>
      <c r="C217" s="67"/>
      <c r="D217" s="70"/>
      <c r="E217" s="70"/>
      <c r="F217" s="70"/>
      <c r="G217" s="70"/>
      <c r="H217" s="12" t="s">
        <v>30</v>
      </c>
      <c r="I217" s="12" t="s">
        <v>22</v>
      </c>
      <c r="J217" s="12" t="s">
        <v>42</v>
      </c>
      <c r="K217" s="13">
        <v>1</v>
      </c>
      <c r="L217" s="12" t="s">
        <v>4</v>
      </c>
      <c r="M217" s="14">
        <f>M216+7</f>
        <v>45996</v>
      </c>
      <c r="N217" s="46">
        <v>46043</v>
      </c>
    </row>
    <row r="218" spans="2:14" ht="15.75" hidden="1" thickBot="1" x14ac:dyDescent="0.3">
      <c r="B218" s="55" t="str">
        <f t="shared" si="13"/>
        <v>PASSO DE CAMARAGIBE</v>
      </c>
      <c r="C218" s="67"/>
      <c r="D218" s="70"/>
      <c r="E218" s="70"/>
      <c r="F218" s="70"/>
      <c r="G218" s="70"/>
      <c r="H218" s="12" t="s">
        <v>30</v>
      </c>
      <c r="I218" s="12" t="s">
        <v>25</v>
      </c>
      <c r="J218" s="12" t="s">
        <v>43</v>
      </c>
      <c r="K218" s="13">
        <v>0</v>
      </c>
      <c r="L218" s="12" t="s">
        <v>2</v>
      </c>
      <c r="M218" s="14">
        <f>M217+14</f>
        <v>46010</v>
      </c>
      <c r="N218" s="46">
        <v>46059</v>
      </c>
    </row>
    <row r="219" spans="2:14" ht="15.75" hidden="1" thickBot="1" x14ac:dyDescent="0.3">
      <c r="B219" s="55" t="str">
        <f t="shared" si="13"/>
        <v>PASSO DE CAMARAGIBE</v>
      </c>
      <c r="C219" s="67"/>
      <c r="D219" s="70"/>
      <c r="E219" s="70"/>
      <c r="F219" s="70"/>
      <c r="G219" s="70"/>
      <c r="H219" s="15" t="s">
        <v>29</v>
      </c>
      <c r="I219" s="15" t="s">
        <v>23</v>
      </c>
      <c r="J219" s="15" t="s">
        <v>46</v>
      </c>
      <c r="K219" s="18">
        <f>K192</f>
        <v>1</v>
      </c>
      <c r="L219" s="15" t="str">
        <f>L192</f>
        <v>Concluído</v>
      </c>
      <c r="M219" s="16">
        <f>M192</f>
        <v>45968</v>
      </c>
      <c r="N219" s="47"/>
    </row>
    <row r="220" spans="2:14" ht="15.75" hidden="1" thickBot="1" x14ac:dyDescent="0.3">
      <c r="B220" s="56" t="str">
        <f t="shared" si="13"/>
        <v>PASSO DE CAMARAGIBE</v>
      </c>
      <c r="C220" s="68"/>
      <c r="D220" s="71"/>
      <c r="E220" s="71"/>
      <c r="F220" s="71"/>
      <c r="G220" s="71"/>
      <c r="H220" s="50" t="s">
        <v>29</v>
      </c>
      <c r="I220" s="50" t="s">
        <v>25</v>
      </c>
      <c r="J220" s="50" t="s">
        <v>47</v>
      </c>
      <c r="K220" s="51">
        <v>0.9</v>
      </c>
      <c r="L220" s="50" t="s">
        <v>2</v>
      </c>
      <c r="M220" s="52">
        <f>M216+7</f>
        <v>45996</v>
      </c>
      <c r="N220" s="58">
        <v>45666</v>
      </c>
    </row>
    <row r="221" spans="2:14" x14ac:dyDescent="0.25">
      <c r="B221" s="38" t="str">
        <f>$C$221</f>
        <v>TAQUARANA</v>
      </c>
      <c r="C221" s="60" t="s">
        <v>5</v>
      </c>
      <c r="D221" s="63">
        <v>45839</v>
      </c>
      <c r="E221" s="63">
        <v>46017</v>
      </c>
      <c r="F221" s="63" t="s">
        <v>2</v>
      </c>
      <c r="G221" s="63">
        <f>N251</f>
        <v>46157</v>
      </c>
      <c r="H221" s="24" t="s">
        <v>17</v>
      </c>
      <c r="I221" s="24" t="s">
        <v>22</v>
      </c>
      <c r="J221" s="24" t="s">
        <v>53</v>
      </c>
      <c r="K221" s="25">
        <v>1</v>
      </c>
      <c r="L221" s="24" t="s">
        <v>4</v>
      </c>
      <c r="M221" s="26" t="s">
        <v>18</v>
      </c>
      <c r="N221" s="27" t="s">
        <v>18</v>
      </c>
    </row>
    <row r="222" spans="2:14" x14ac:dyDescent="0.25">
      <c r="B222" s="43" t="str">
        <f t="shared" ref="B222:B251" si="15">$C$221</f>
        <v>TAQUARANA</v>
      </c>
      <c r="C222" s="61"/>
      <c r="D222" s="64"/>
      <c r="E222" s="64"/>
      <c r="F222" s="64"/>
      <c r="G222" s="64"/>
      <c r="H222" s="3" t="s">
        <v>24</v>
      </c>
      <c r="I222" s="3" t="s">
        <v>22</v>
      </c>
      <c r="J222" s="3" t="s">
        <v>54</v>
      </c>
      <c r="K222" s="11" t="s">
        <v>18</v>
      </c>
      <c r="L222" s="3" t="s">
        <v>3</v>
      </c>
      <c r="M222" s="5" t="s">
        <v>18</v>
      </c>
      <c r="N222" s="29" t="s">
        <v>18</v>
      </c>
    </row>
    <row r="223" spans="2:14" x14ac:dyDescent="0.25">
      <c r="B223" s="43" t="str">
        <f t="shared" si="15"/>
        <v>TAQUARANA</v>
      </c>
      <c r="C223" s="61"/>
      <c r="D223" s="64"/>
      <c r="E223" s="64"/>
      <c r="F223" s="64"/>
      <c r="G223" s="64"/>
      <c r="H223" s="2" t="s">
        <v>49</v>
      </c>
      <c r="I223" s="2" t="s">
        <v>23</v>
      </c>
      <c r="J223" s="2" t="s">
        <v>50</v>
      </c>
      <c r="K223" s="10">
        <v>1</v>
      </c>
      <c r="L223" s="2" t="s">
        <v>4</v>
      </c>
      <c r="M223" s="4">
        <v>46080</v>
      </c>
      <c r="N223" s="30">
        <v>46108</v>
      </c>
    </row>
    <row r="224" spans="2:14" x14ac:dyDescent="0.25">
      <c r="B224" s="43" t="str">
        <f t="shared" si="15"/>
        <v>TAQUARANA</v>
      </c>
      <c r="C224" s="61"/>
      <c r="D224" s="64"/>
      <c r="E224" s="64"/>
      <c r="F224" s="64"/>
      <c r="G224" s="64"/>
      <c r="H224" s="3" t="s">
        <v>1</v>
      </c>
      <c r="I224" s="3" t="s">
        <v>22</v>
      </c>
      <c r="J224" s="3" t="s">
        <v>52</v>
      </c>
      <c r="K224" s="11">
        <v>1</v>
      </c>
      <c r="L224" s="3" t="s">
        <v>4</v>
      </c>
      <c r="M224" s="5" t="s">
        <v>18</v>
      </c>
      <c r="N224" s="31" t="s">
        <v>18</v>
      </c>
    </row>
    <row r="225" spans="2:14" x14ac:dyDescent="0.25">
      <c r="B225" s="43" t="str">
        <f t="shared" si="15"/>
        <v>TAQUARANA</v>
      </c>
      <c r="C225" s="61"/>
      <c r="D225" s="64"/>
      <c r="E225" s="64"/>
      <c r="F225" s="64"/>
      <c r="G225" s="64"/>
      <c r="H225" s="2" t="s">
        <v>16</v>
      </c>
      <c r="I225" s="2" t="s">
        <v>22</v>
      </c>
      <c r="J225" s="2" t="s">
        <v>38</v>
      </c>
      <c r="K225" s="10">
        <v>1</v>
      </c>
      <c r="L225" s="2" t="s">
        <v>4</v>
      </c>
      <c r="M225" s="4" t="s">
        <v>18</v>
      </c>
      <c r="N225" s="32" t="s">
        <v>18</v>
      </c>
    </row>
    <row r="226" spans="2:14" x14ac:dyDescent="0.25">
      <c r="B226" s="43" t="str">
        <f t="shared" si="15"/>
        <v>TAQUARANA</v>
      </c>
      <c r="C226" s="61"/>
      <c r="D226" s="64"/>
      <c r="E226" s="64"/>
      <c r="F226" s="64"/>
      <c r="G226" s="64"/>
      <c r="H226" s="3" t="s">
        <v>19</v>
      </c>
      <c r="I226" s="3" t="s">
        <v>25</v>
      </c>
      <c r="J226" s="3" t="s">
        <v>39</v>
      </c>
      <c r="K226" s="11">
        <v>1</v>
      </c>
      <c r="L226" s="3" t="s">
        <v>4</v>
      </c>
      <c r="M226" s="5">
        <v>46010</v>
      </c>
      <c r="N226" s="29" t="s">
        <v>18</v>
      </c>
    </row>
    <row r="227" spans="2:14" x14ac:dyDescent="0.25">
      <c r="B227" s="43" t="str">
        <f t="shared" si="15"/>
        <v>TAQUARANA</v>
      </c>
      <c r="C227" s="61"/>
      <c r="D227" s="64"/>
      <c r="E227" s="64"/>
      <c r="F227" s="64"/>
      <c r="G227" s="64"/>
      <c r="H227" s="3" t="s">
        <v>19</v>
      </c>
      <c r="I227" s="3" t="s">
        <v>22</v>
      </c>
      <c r="J227" s="3" t="s">
        <v>40</v>
      </c>
      <c r="K227" s="11">
        <v>1</v>
      </c>
      <c r="L227" s="3" t="s">
        <v>4</v>
      </c>
      <c r="M227" s="5">
        <v>46038</v>
      </c>
      <c r="N227" s="31">
        <v>46080</v>
      </c>
    </row>
    <row r="228" spans="2:14" x14ac:dyDescent="0.25">
      <c r="B228" s="43" t="str">
        <f t="shared" si="15"/>
        <v>TAQUARANA</v>
      </c>
      <c r="C228" s="61"/>
      <c r="D228" s="64"/>
      <c r="E228" s="64"/>
      <c r="F228" s="64"/>
      <c r="G228" s="64"/>
      <c r="H228" s="2" t="s">
        <v>27</v>
      </c>
      <c r="I228" s="2" t="s">
        <v>23</v>
      </c>
      <c r="J228" s="2" t="s">
        <v>50</v>
      </c>
      <c r="K228" s="10">
        <f>K223</f>
        <v>1</v>
      </c>
      <c r="L228" s="2" t="str">
        <f>L223</f>
        <v>Concluído</v>
      </c>
      <c r="M228" s="4">
        <f>M223</f>
        <v>46080</v>
      </c>
      <c r="N228" s="30">
        <f>N223</f>
        <v>46108</v>
      </c>
    </row>
    <row r="229" spans="2:14" x14ac:dyDescent="0.25">
      <c r="B229" s="43" t="str">
        <f t="shared" si="15"/>
        <v>TAQUARANA</v>
      </c>
      <c r="C229" s="61"/>
      <c r="D229" s="64"/>
      <c r="E229" s="64"/>
      <c r="F229" s="64"/>
      <c r="G229" s="64"/>
      <c r="H229" s="2" t="s">
        <v>27</v>
      </c>
      <c r="I229" s="2" t="s">
        <v>22</v>
      </c>
      <c r="J229" s="2" t="s">
        <v>38</v>
      </c>
      <c r="K229" s="10">
        <f>K225</f>
        <v>1</v>
      </c>
      <c r="L229" s="2" t="str">
        <f>L225</f>
        <v>Concluído</v>
      </c>
      <c r="M229" s="4" t="str">
        <f>M225</f>
        <v>-</v>
      </c>
      <c r="N229" s="32" t="s">
        <v>18</v>
      </c>
    </row>
    <row r="230" spans="2:14" x14ac:dyDescent="0.25">
      <c r="B230" s="43" t="str">
        <f t="shared" si="15"/>
        <v>TAQUARANA</v>
      </c>
      <c r="C230" s="61"/>
      <c r="D230" s="64"/>
      <c r="E230" s="64"/>
      <c r="F230" s="64"/>
      <c r="G230" s="64"/>
      <c r="H230" s="2" t="s">
        <v>27</v>
      </c>
      <c r="I230" s="2" t="s">
        <v>25</v>
      </c>
      <c r="J230" s="2" t="s">
        <v>41</v>
      </c>
      <c r="K230" s="10">
        <v>1</v>
      </c>
      <c r="L230" s="2" t="s">
        <v>4</v>
      </c>
      <c r="M230" s="4">
        <v>46087</v>
      </c>
      <c r="N230" s="30">
        <v>46134</v>
      </c>
    </row>
    <row r="231" spans="2:14" x14ac:dyDescent="0.25">
      <c r="B231" s="43" t="str">
        <f t="shared" si="15"/>
        <v>TAQUARANA</v>
      </c>
      <c r="C231" s="61"/>
      <c r="D231" s="64"/>
      <c r="E231" s="64"/>
      <c r="F231" s="64"/>
      <c r="G231" s="64"/>
      <c r="H231" s="2" t="s">
        <v>27</v>
      </c>
      <c r="I231" s="2" t="s">
        <v>22</v>
      </c>
      <c r="J231" s="2" t="s">
        <v>42</v>
      </c>
      <c r="K231" s="10">
        <v>0</v>
      </c>
      <c r="L231" s="2" t="s">
        <v>2</v>
      </c>
      <c r="M231" s="4">
        <f>M230+7</f>
        <v>46094</v>
      </c>
      <c r="N231" s="30">
        <f>N230+7</f>
        <v>46141</v>
      </c>
    </row>
    <row r="232" spans="2:14" x14ac:dyDescent="0.25">
      <c r="B232" s="43" t="str">
        <f t="shared" si="15"/>
        <v>TAQUARANA</v>
      </c>
      <c r="C232" s="61"/>
      <c r="D232" s="64"/>
      <c r="E232" s="64"/>
      <c r="F232" s="64"/>
      <c r="G232" s="64"/>
      <c r="H232" s="2" t="s">
        <v>27</v>
      </c>
      <c r="I232" s="2" t="s">
        <v>25</v>
      </c>
      <c r="J232" s="2" t="s">
        <v>43</v>
      </c>
      <c r="K232" s="10">
        <v>0</v>
      </c>
      <c r="L232" s="2" t="s">
        <v>2</v>
      </c>
      <c r="M232" s="4">
        <f>M237</f>
        <v>46122</v>
      </c>
      <c r="N232" s="30">
        <f>N237</f>
        <v>46157</v>
      </c>
    </row>
    <row r="233" spans="2:14" x14ac:dyDescent="0.25">
      <c r="B233" s="43" t="str">
        <f t="shared" si="15"/>
        <v>TAQUARANA</v>
      </c>
      <c r="C233" s="61"/>
      <c r="D233" s="64"/>
      <c r="E233" s="64"/>
      <c r="F233" s="64"/>
      <c r="G233" s="64"/>
      <c r="H233" s="3" t="s">
        <v>28</v>
      </c>
      <c r="I233" s="3" t="s">
        <v>23</v>
      </c>
      <c r="J233" s="3" t="s">
        <v>50</v>
      </c>
      <c r="K233" s="11">
        <f>K223</f>
        <v>1</v>
      </c>
      <c r="L233" s="3" t="str">
        <f>L223</f>
        <v>Concluído</v>
      </c>
      <c r="M233" s="5">
        <f>M223</f>
        <v>46080</v>
      </c>
      <c r="N233" s="31">
        <f>N223</f>
        <v>46108</v>
      </c>
    </row>
    <row r="234" spans="2:14" x14ac:dyDescent="0.25">
      <c r="B234" s="43" t="str">
        <f t="shared" si="15"/>
        <v>TAQUARANA</v>
      </c>
      <c r="C234" s="61"/>
      <c r="D234" s="64"/>
      <c r="E234" s="64"/>
      <c r="F234" s="64"/>
      <c r="G234" s="64"/>
      <c r="H234" s="3" t="s">
        <v>28</v>
      </c>
      <c r="I234" s="3" t="s">
        <v>22</v>
      </c>
      <c r="J234" s="3" t="s">
        <v>38</v>
      </c>
      <c r="K234" s="11">
        <f>K225</f>
        <v>1</v>
      </c>
      <c r="L234" s="3" t="str">
        <f>L225</f>
        <v>Concluído</v>
      </c>
      <c r="M234" s="5" t="str">
        <f>M225</f>
        <v>-</v>
      </c>
      <c r="N234" s="29" t="s">
        <v>18</v>
      </c>
    </row>
    <row r="235" spans="2:14" x14ac:dyDescent="0.25">
      <c r="B235" s="43" t="str">
        <f t="shared" si="15"/>
        <v>TAQUARANA</v>
      </c>
      <c r="C235" s="61"/>
      <c r="D235" s="64"/>
      <c r="E235" s="64"/>
      <c r="F235" s="64"/>
      <c r="G235" s="64"/>
      <c r="H235" s="3" t="s">
        <v>28</v>
      </c>
      <c r="I235" s="3" t="s">
        <v>25</v>
      </c>
      <c r="J235" s="3" t="s">
        <v>41</v>
      </c>
      <c r="K235" s="11">
        <v>1</v>
      </c>
      <c r="L235" s="3" t="s">
        <v>4</v>
      </c>
      <c r="M235" s="5">
        <f>M230</f>
        <v>46087</v>
      </c>
      <c r="N235" s="31">
        <v>46127</v>
      </c>
    </row>
    <row r="236" spans="2:14" x14ac:dyDescent="0.25">
      <c r="B236" s="43" t="str">
        <f t="shared" si="15"/>
        <v>TAQUARANA</v>
      </c>
      <c r="C236" s="61"/>
      <c r="D236" s="64"/>
      <c r="E236" s="64"/>
      <c r="F236" s="64"/>
      <c r="G236" s="64"/>
      <c r="H236" s="3" t="s">
        <v>28</v>
      </c>
      <c r="I236" s="3" t="s">
        <v>22</v>
      </c>
      <c r="J236" s="3" t="s">
        <v>42</v>
      </c>
      <c r="K236" s="11">
        <v>0</v>
      </c>
      <c r="L236" s="3" t="s">
        <v>2</v>
      </c>
      <c r="M236" s="5">
        <f>M235+7</f>
        <v>46094</v>
      </c>
      <c r="N236" s="31">
        <f>N235+7</f>
        <v>46134</v>
      </c>
    </row>
    <row r="237" spans="2:14" x14ac:dyDescent="0.25">
      <c r="B237" s="43" t="str">
        <f t="shared" si="15"/>
        <v>TAQUARANA</v>
      </c>
      <c r="C237" s="61"/>
      <c r="D237" s="64"/>
      <c r="E237" s="64"/>
      <c r="F237" s="64"/>
      <c r="G237" s="64"/>
      <c r="H237" s="3" t="s">
        <v>28</v>
      </c>
      <c r="I237" s="3" t="s">
        <v>25</v>
      </c>
      <c r="J237" s="3" t="s">
        <v>43</v>
      </c>
      <c r="K237" s="11">
        <v>0</v>
      </c>
      <c r="L237" s="3" t="s">
        <v>2</v>
      </c>
      <c r="M237" s="5">
        <f>M242</f>
        <v>46122</v>
      </c>
      <c r="N237" s="31">
        <f>N242</f>
        <v>46157</v>
      </c>
    </row>
    <row r="238" spans="2:14" x14ac:dyDescent="0.25">
      <c r="B238" s="43" t="str">
        <f t="shared" si="15"/>
        <v>TAQUARANA</v>
      </c>
      <c r="C238" s="61"/>
      <c r="D238" s="64"/>
      <c r="E238" s="64"/>
      <c r="F238" s="64"/>
      <c r="G238" s="64"/>
      <c r="H238" s="2" t="s">
        <v>20</v>
      </c>
      <c r="I238" s="2" t="s">
        <v>23</v>
      </c>
      <c r="J238" s="2" t="s">
        <v>50</v>
      </c>
      <c r="K238" s="10">
        <f>K223</f>
        <v>1</v>
      </c>
      <c r="L238" s="2" t="str">
        <f>L223</f>
        <v>Concluído</v>
      </c>
      <c r="M238" s="4">
        <f>M223</f>
        <v>46080</v>
      </c>
      <c r="N238" s="30">
        <f>N223</f>
        <v>46108</v>
      </c>
    </row>
    <row r="239" spans="2:14" x14ac:dyDescent="0.25">
      <c r="B239" s="43" t="str">
        <f t="shared" si="15"/>
        <v>TAQUARANA</v>
      </c>
      <c r="C239" s="61"/>
      <c r="D239" s="64"/>
      <c r="E239" s="64"/>
      <c r="F239" s="64"/>
      <c r="G239" s="64"/>
      <c r="H239" s="2" t="s">
        <v>20</v>
      </c>
      <c r="I239" s="2" t="s">
        <v>22</v>
      </c>
      <c r="J239" s="2" t="s">
        <v>38</v>
      </c>
      <c r="K239" s="10">
        <f>K225</f>
        <v>1</v>
      </c>
      <c r="L239" s="2" t="str">
        <f>L225</f>
        <v>Concluído</v>
      </c>
      <c r="M239" s="4" t="str">
        <f>M225</f>
        <v>-</v>
      </c>
      <c r="N239" s="32" t="s">
        <v>18</v>
      </c>
    </row>
    <row r="240" spans="2:14" x14ac:dyDescent="0.25">
      <c r="B240" s="43" t="str">
        <f t="shared" si="15"/>
        <v>TAQUARANA</v>
      </c>
      <c r="C240" s="61"/>
      <c r="D240" s="64"/>
      <c r="E240" s="64"/>
      <c r="F240" s="64"/>
      <c r="G240" s="64"/>
      <c r="H240" s="2" t="s">
        <v>20</v>
      </c>
      <c r="I240" s="2" t="s">
        <v>25</v>
      </c>
      <c r="J240" s="2" t="s">
        <v>41</v>
      </c>
      <c r="K240" s="10">
        <v>0</v>
      </c>
      <c r="L240" s="2" t="s">
        <v>2</v>
      </c>
      <c r="M240" s="4">
        <f>M235+14</f>
        <v>46101</v>
      </c>
      <c r="N240" s="30">
        <v>46155</v>
      </c>
    </row>
    <row r="241" spans="2:14" x14ac:dyDescent="0.25">
      <c r="B241" s="43" t="str">
        <f t="shared" si="15"/>
        <v>TAQUARANA</v>
      </c>
      <c r="C241" s="61"/>
      <c r="D241" s="64"/>
      <c r="E241" s="64"/>
      <c r="F241" s="64"/>
      <c r="G241" s="64"/>
      <c r="H241" s="2" t="s">
        <v>20</v>
      </c>
      <c r="I241" s="2" t="s">
        <v>22</v>
      </c>
      <c r="J241" s="2" t="s">
        <v>42</v>
      </c>
      <c r="K241" s="10">
        <v>0</v>
      </c>
      <c r="L241" s="2" t="s">
        <v>2</v>
      </c>
      <c r="M241" s="4">
        <f>M240+14</f>
        <v>46115</v>
      </c>
      <c r="N241" s="30">
        <f>N240+14</f>
        <v>46169</v>
      </c>
    </row>
    <row r="242" spans="2:14" x14ac:dyDescent="0.25">
      <c r="B242" s="43" t="str">
        <f t="shared" si="15"/>
        <v>TAQUARANA</v>
      </c>
      <c r="C242" s="61"/>
      <c r="D242" s="64"/>
      <c r="E242" s="64"/>
      <c r="F242" s="64"/>
      <c r="G242" s="64"/>
      <c r="H242" s="2" t="s">
        <v>20</v>
      </c>
      <c r="I242" s="2" t="s">
        <v>25</v>
      </c>
      <c r="J242" s="2" t="s">
        <v>43</v>
      </c>
      <c r="K242" s="10">
        <v>0</v>
      </c>
      <c r="L242" s="2" t="s">
        <v>2</v>
      </c>
      <c r="M242" s="4">
        <f>M251</f>
        <v>46122</v>
      </c>
      <c r="N242" s="30">
        <f>N251</f>
        <v>46157</v>
      </c>
    </row>
    <row r="243" spans="2:14" x14ac:dyDescent="0.25">
      <c r="B243" s="43" t="str">
        <f t="shared" si="15"/>
        <v>TAQUARANA</v>
      </c>
      <c r="C243" s="61"/>
      <c r="D243" s="64"/>
      <c r="E243" s="64"/>
      <c r="F243" s="64"/>
      <c r="G243" s="64"/>
      <c r="H243" s="3" t="s">
        <v>30</v>
      </c>
      <c r="I243" s="3" t="s">
        <v>23</v>
      </c>
      <c r="J243" s="3" t="s">
        <v>50</v>
      </c>
      <c r="K243" s="11">
        <f>K223</f>
        <v>1</v>
      </c>
      <c r="L243" s="3" t="str">
        <f>L223</f>
        <v>Concluído</v>
      </c>
      <c r="M243" s="5">
        <f>M223</f>
        <v>46080</v>
      </c>
      <c r="N243" s="31">
        <f>N223</f>
        <v>46108</v>
      </c>
    </row>
    <row r="244" spans="2:14" x14ac:dyDescent="0.25">
      <c r="B244" s="43" t="str">
        <f t="shared" si="15"/>
        <v>TAQUARANA</v>
      </c>
      <c r="C244" s="61"/>
      <c r="D244" s="64"/>
      <c r="E244" s="64"/>
      <c r="F244" s="64"/>
      <c r="G244" s="64"/>
      <c r="H244" s="3" t="s">
        <v>30</v>
      </c>
      <c r="I244" s="3" t="s">
        <v>22</v>
      </c>
      <c r="J244" s="3" t="s">
        <v>38</v>
      </c>
      <c r="K244" s="11">
        <f t="shared" ref="K244:M246" si="16">K225</f>
        <v>1</v>
      </c>
      <c r="L244" s="3" t="str">
        <f t="shared" si="16"/>
        <v>Concluído</v>
      </c>
      <c r="M244" s="5" t="str">
        <f t="shared" si="16"/>
        <v>-</v>
      </c>
      <c r="N244" s="29" t="s">
        <v>18</v>
      </c>
    </row>
    <row r="245" spans="2:14" x14ac:dyDescent="0.25">
      <c r="B245" s="43" t="str">
        <f t="shared" si="15"/>
        <v>TAQUARANA</v>
      </c>
      <c r="C245" s="61"/>
      <c r="D245" s="64"/>
      <c r="E245" s="64"/>
      <c r="F245" s="64"/>
      <c r="G245" s="64"/>
      <c r="H245" s="3" t="s">
        <v>30</v>
      </c>
      <c r="I245" s="3" t="s">
        <v>25</v>
      </c>
      <c r="J245" s="3" t="s">
        <v>39</v>
      </c>
      <c r="K245" s="11">
        <f t="shared" si="16"/>
        <v>1</v>
      </c>
      <c r="L245" s="3" t="str">
        <f t="shared" si="16"/>
        <v>Concluído</v>
      </c>
      <c r="M245" s="5">
        <f t="shared" si="16"/>
        <v>46010</v>
      </c>
      <c r="N245" s="29" t="s">
        <v>18</v>
      </c>
    </row>
    <row r="246" spans="2:14" x14ac:dyDescent="0.25">
      <c r="B246" s="43" t="str">
        <f t="shared" si="15"/>
        <v>TAQUARANA</v>
      </c>
      <c r="C246" s="61"/>
      <c r="D246" s="64"/>
      <c r="E246" s="64"/>
      <c r="F246" s="64"/>
      <c r="G246" s="64"/>
      <c r="H246" s="3" t="s">
        <v>30</v>
      </c>
      <c r="I246" s="3" t="s">
        <v>22</v>
      </c>
      <c r="J246" s="3" t="s">
        <v>40</v>
      </c>
      <c r="K246" s="11">
        <f t="shared" si="16"/>
        <v>1</v>
      </c>
      <c r="L246" s="3" t="str">
        <f t="shared" si="16"/>
        <v>Concluído</v>
      </c>
      <c r="M246" s="5">
        <f t="shared" si="16"/>
        <v>46038</v>
      </c>
      <c r="N246" s="31">
        <f>N227</f>
        <v>46080</v>
      </c>
    </row>
    <row r="247" spans="2:14" x14ac:dyDescent="0.25">
      <c r="B247" s="43" t="str">
        <f t="shared" si="15"/>
        <v>TAQUARANA</v>
      </c>
      <c r="C247" s="61"/>
      <c r="D247" s="64"/>
      <c r="E247" s="64"/>
      <c r="F247" s="64"/>
      <c r="G247" s="64"/>
      <c r="H247" s="3" t="s">
        <v>30</v>
      </c>
      <c r="I247" s="3" t="s">
        <v>25</v>
      </c>
      <c r="J247" s="3" t="s">
        <v>41</v>
      </c>
      <c r="K247" s="11">
        <v>1</v>
      </c>
      <c r="L247" s="3" t="s">
        <v>4</v>
      </c>
      <c r="M247" s="5">
        <f>M236+21</f>
        <v>46115</v>
      </c>
      <c r="N247" s="31">
        <f>N236+14</f>
        <v>46148</v>
      </c>
    </row>
    <row r="248" spans="2:14" x14ac:dyDescent="0.25">
      <c r="B248" s="43" t="str">
        <f t="shared" si="15"/>
        <v>TAQUARANA</v>
      </c>
      <c r="C248" s="61"/>
      <c r="D248" s="64"/>
      <c r="E248" s="64"/>
      <c r="F248" s="64"/>
      <c r="G248" s="64"/>
      <c r="H248" s="3" t="s">
        <v>30</v>
      </c>
      <c r="I248" s="3" t="s">
        <v>22</v>
      </c>
      <c r="J248" s="3" t="s">
        <v>42</v>
      </c>
      <c r="K248" s="11">
        <v>0</v>
      </c>
      <c r="L248" s="3" t="s">
        <v>2</v>
      </c>
      <c r="M248" s="5">
        <f>M247+7</f>
        <v>46122</v>
      </c>
      <c r="N248" s="31">
        <f>N247+7</f>
        <v>46155</v>
      </c>
    </row>
    <row r="249" spans="2:14" x14ac:dyDescent="0.25">
      <c r="B249" s="43" t="str">
        <f t="shared" si="15"/>
        <v>TAQUARANA</v>
      </c>
      <c r="C249" s="61"/>
      <c r="D249" s="64"/>
      <c r="E249" s="64"/>
      <c r="F249" s="64"/>
      <c r="G249" s="64"/>
      <c r="H249" s="3" t="s">
        <v>30</v>
      </c>
      <c r="I249" s="3" t="s">
        <v>25</v>
      </c>
      <c r="J249" s="3" t="s">
        <v>43</v>
      </c>
      <c r="K249" s="11">
        <v>0</v>
      </c>
      <c r="L249" s="3" t="s">
        <v>2</v>
      </c>
      <c r="M249" s="5">
        <f>M248+14</f>
        <v>46136</v>
      </c>
      <c r="N249" s="31">
        <f>N248+14</f>
        <v>46169</v>
      </c>
    </row>
    <row r="250" spans="2:14" x14ac:dyDescent="0.25">
      <c r="B250" s="43" t="str">
        <f t="shared" si="15"/>
        <v>TAQUARANA</v>
      </c>
      <c r="C250" s="61"/>
      <c r="D250" s="64"/>
      <c r="E250" s="64"/>
      <c r="F250" s="64"/>
      <c r="G250" s="64"/>
      <c r="H250" s="2" t="s">
        <v>29</v>
      </c>
      <c r="I250" s="2" t="s">
        <v>23</v>
      </c>
      <c r="J250" s="2" t="s">
        <v>46</v>
      </c>
      <c r="K250" s="10">
        <v>1</v>
      </c>
      <c r="L250" s="2" t="s">
        <v>4</v>
      </c>
      <c r="M250" s="4">
        <f>M223</f>
        <v>46080</v>
      </c>
      <c r="N250" s="30">
        <f>N223</f>
        <v>46108</v>
      </c>
    </row>
    <row r="251" spans="2:14" ht="15.75" thickBot="1" x14ac:dyDescent="0.3">
      <c r="B251" s="49" t="str">
        <f t="shared" si="15"/>
        <v>TAQUARANA</v>
      </c>
      <c r="C251" s="62"/>
      <c r="D251" s="65"/>
      <c r="E251" s="65"/>
      <c r="F251" s="65"/>
      <c r="G251" s="65"/>
      <c r="H251" s="34" t="s">
        <v>29</v>
      </c>
      <c r="I251" s="34" t="s">
        <v>25</v>
      </c>
      <c r="J251" s="34" t="s">
        <v>47</v>
      </c>
      <c r="K251" s="35">
        <v>0</v>
      </c>
      <c r="L251" s="34" t="s">
        <v>2</v>
      </c>
      <c r="M251" s="36">
        <f>M247+7</f>
        <v>46122</v>
      </c>
      <c r="N251" s="37">
        <v>46157</v>
      </c>
    </row>
    <row r="252" spans="2:14" ht="15.75" hidden="1" thickBot="1" x14ac:dyDescent="0.3">
      <c r="B252" s="54" t="str">
        <f>$C$252</f>
        <v>JOAQUIM GOMES</v>
      </c>
      <c r="C252" s="66" t="s">
        <v>14</v>
      </c>
      <c r="D252" s="69">
        <v>45839</v>
      </c>
      <c r="E252" s="69">
        <v>46017</v>
      </c>
      <c r="F252" s="69" t="s">
        <v>2</v>
      </c>
      <c r="G252" s="69">
        <f>M282</f>
        <v>46031</v>
      </c>
      <c r="H252" s="24" t="s">
        <v>17</v>
      </c>
      <c r="I252" s="24" t="s">
        <v>22</v>
      </c>
      <c r="J252" s="24" t="s">
        <v>53</v>
      </c>
      <c r="K252" s="25">
        <v>1</v>
      </c>
      <c r="L252" s="24" t="s">
        <v>4</v>
      </c>
      <c r="M252" s="26" t="s">
        <v>18</v>
      </c>
      <c r="N252" s="27" t="s">
        <v>18</v>
      </c>
    </row>
    <row r="253" spans="2:14" ht="15.75" hidden="1" thickBot="1" x14ac:dyDescent="0.3">
      <c r="B253" s="55" t="str">
        <f t="shared" ref="B253:B282" si="17">$C$252</f>
        <v>JOAQUIM GOMES</v>
      </c>
      <c r="C253" s="67"/>
      <c r="D253" s="70"/>
      <c r="E253" s="70"/>
      <c r="F253" s="70"/>
      <c r="G253" s="70"/>
      <c r="H253" s="3" t="s">
        <v>24</v>
      </c>
      <c r="I253" s="3" t="s">
        <v>22</v>
      </c>
      <c r="J253" s="3" t="s">
        <v>54</v>
      </c>
      <c r="K253" s="11" t="s">
        <v>18</v>
      </c>
      <c r="L253" s="3" t="s">
        <v>3</v>
      </c>
      <c r="M253" s="5" t="s">
        <v>18</v>
      </c>
      <c r="N253" s="29" t="s">
        <v>18</v>
      </c>
    </row>
    <row r="254" spans="2:14" ht="15.75" hidden="1" thickBot="1" x14ac:dyDescent="0.3">
      <c r="B254" s="55" t="str">
        <f t="shared" si="17"/>
        <v>JOAQUIM GOMES</v>
      </c>
      <c r="C254" s="67"/>
      <c r="D254" s="70"/>
      <c r="E254" s="70"/>
      <c r="F254" s="70"/>
      <c r="G254" s="70"/>
      <c r="H254" s="2" t="s">
        <v>49</v>
      </c>
      <c r="I254" s="2" t="s">
        <v>23</v>
      </c>
      <c r="J254" s="2" t="s">
        <v>50</v>
      </c>
      <c r="K254" s="10">
        <v>0</v>
      </c>
      <c r="L254" s="2" t="s">
        <v>2</v>
      </c>
      <c r="M254" s="4">
        <v>45996</v>
      </c>
      <c r="N254" s="30"/>
    </row>
    <row r="255" spans="2:14" ht="15.75" hidden="1" thickBot="1" x14ac:dyDescent="0.3">
      <c r="B255" s="55" t="str">
        <f t="shared" si="17"/>
        <v>JOAQUIM GOMES</v>
      </c>
      <c r="C255" s="67"/>
      <c r="D255" s="70"/>
      <c r="E255" s="70"/>
      <c r="F255" s="70"/>
      <c r="G255" s="70"/>
      <c r="H255" s="3" t="s">
        <v>1</v>
      </c>
      <c r="I255" s="3" t="s">
        <v>22</v>
      </c>
      <c r="J255" s="3" t="s">
        <v>52</v>
      </c>
      <c r="K255" s="11">
        <v>1</v>
      </c>
      <c r="L255" s="3" t="s">
        <v>4</v>
      </c>
      <c r="M255" s="5" t="s">
        <v>18</v>
      </c>
      <c r="N255" s="31"/>
    </row>
    <row r="256" spans="2:14" ht="15.75" hidden="1" thickBot="1" x14ac:dyDescent="0.3">
      <c r="B256" s="55" t="str">
        <f t="shared" si="17"/>
        <v>JOAQUIM GOMES</v>
      </c>
      <c r="C256" s="67"/>
      <c r="D256" s="70"/>
      <c r="E256" s="70"/>
      <c r="F256" s="70"/>
      <c r="G256" s="70"/>
      <c r="H256" s="2" t="s">
        <v>16</v>
      </c>
      <c r="I256" s="2" t="s">
        <v>22</v>
      </c>
      <c r="J256" s="2" t="s">
        <v>38</v>
      </c>
      <c r="K256" s="10">
        <v>0</v>
      </c>
      <c r="L256" s="2" t="s">
        <v>2</v>
      </c>
      <c r="M256" s="4">
        <v>45961</v>
      </c>
      <c r="N256" s="32"/>
    </row>
    <row r="257" spans="2:14" ht="15.75" hidden="1" thickBot="1" x14ac:dyDescent="0.3">
      <c r="B257" s="55" t="str">
        <f t="shared" si="17"/>
        <v>JOAQUIM GOMES</v>
      </c>
      <c r="C257" s="67"/>
      <c r="D257" s="70"/>
      <c r="E257" s="70"/>
      <c r="F257" s="70"/>
      <c r="G257" s="70"/>
      <c r="H257" s="3" t="s">
        <v>19</v>
      </c>
      <c r="I257" s="3" t="s">
        <v>25</v>
      </c>
      <c r="J257" s="3" t="s">
        <v>39</v>
      </c>
      <c r="K257" s="11">
        <v>1</v>
      </c>
      <c r="L257" s="3" t="s">
        <v>4</v>
      </c>
      <c r="M257" s="5" t="s">
        <v>18</v>
      </c>
      <c r="N257" s="29"/>
    </row>
    <row r="258" spans="2:14" ht="15.75" hidden="1" thickBot="1" x14ac:dyDescent="0.3">
      <c r="B258" s="55" t="str">
        <f t="shared" si="17"/>
        <v>JOAQUIM GOMES</v>
      </c>
      <c r="C258" s="67"/>
      <c r="D258" s="70"/>
      <c r="E258" s="70"/>
      <c r="F258" s="70"/>
      <c r="G258" s="70"/>
      <c r="H258" s="3" t="s">
        <v>19</v>
      </c>
      <c r="I258" s="3" t="s">
        <v>22</v>
      </c>
      <c r="J258" s="3" t="s">
        <v>40</v>
      </c>
      <c r="K258" s="11">
        <v>0</v>
      </c>
      <c r="L258" s="3" t="s">
        <v>2</v>
      </c>
      <c r="M258" s="5">
        <v>45968</v>
      </c>
      <c r="N258" s="29"/>
    </row>
    <row r="259" spans="2:14" ht="15.75" hidden="1" thickBot="1" x14ac:dyDescent="0.3">
      <c r="B259" s="55" t="str">
        <f t="shared" si="17"/>
        <v>JOAQUIM GOMES</v>
      </c>
      <c r="C259" s="67"/>
      <c r="D259" s="70"/>
      <c r="E259" s="70"/>
      <c r="F259" s="70"/>
      <c r="G259" s="70"/>
      <c r="H259" s="2" t="s">
        <v>27</v>
      </c>
      <c r="I259" s="2" t="s">
        <v>23</v>
      </c>
      <c r="J259" s="2" t="s">
        <v>50</v>
      </c>
      <c r="K259" s="10">
        <f>K254</f>
        <v>0</v>
      </c>
      <c r="L259" s="2" t="str">
        <f>L254</f>
        <v>Pendente</v>
      </c>
      <c r="M259" s="4">
        <f>M254</f>
        <v>45996</v>
      </c>
      <c r="N259" s="30"/>
    </row>
    <row r="260" spans="2:14" ht="15.75" hidden="1" thickBot="1" x14ac:dyDescent="0.3">
      <c r="B260" s="55" t="str">
        <f t="shared" si="17"/>
        <v>JOAQUIM GOMES</v>
      </c>
      <c r="C260" s="67"/>
      <c r="D260" s="70"/>
      <c r="E260" s="70"/>
      <c r="F260" s="70"/>
      <c r="G260" s="70"/>
      <c r="H260" s="2" t="s">
        <v>27</v>
      </c>
      <c r="I260" s="2" t="s">
        <v>22</v>
      </c>
      <c r="J260" s="2" t="s">
        <v>38</v>
      </c>
      <c r="K260" s="10">
        <f>K256</f>
        <v>0</v>
      </c>
      <c r="L260" s="2" t="str">
        <f>L256</f>
        <v>Pendente</v>
      </c>
      <c r="M260" s="4">
        <f>M256</f>
        <v>45961</v>
      </c>
      <c r="N260" s="32" t="s">
        <v>18</v>
      </c>
    </row>
    <row r="261" spans="2:14" ht="15.75" hidden="1" thickBot="1" x14ac:dyDescent="0.3">
      <c r="B261" s="55" t="str">
        <f t="shared" si="17"/>
        <v>JOAQUIM GOMES</v>
      </c>
      <c r="C261" s="67"/>
      <c r="D261" s="70"/>
      <c r="E261" s="70"/>
      <c r="F261" s="70"/>
      <c r="G261" s="70"/>
      <c r="H261" s="2" t="s">
        <v>27</v>
      </c>
      <c r="I261" s="2" t="s">
        <v>25</v>
      </c>
      <c r="J261" s="2" t="s">
        <v>41</v>
      </c>
      <c r="K261" s="10">
        <v>0</v>
      </c>
      <c r="L261" s="2" t="s">
        <v>2</v>
      </c>
      <c r="M261" s="4">
        <v>45982</v>
      </c>
      <c r="N261" s="30"/>
    </row>
    <row r="262" spans="2:14" ht="15.75" hidden="1" thickBot="1" x14ac:dyDescent="0.3">
      <c r="B262" s="55" t="str">
        <f t="shared" si="17"/>
        <v>JOAQUIM GOMES</v>
      </c>
      <c r="C262" s="67"/>
      <c r="D262" s="70"/>
      <c r="E262" s="70"/>
      <c r="F262" s="70"/>
      <c r="G262" s="70"/>
      <c r="H262" s="2" t="s">
        <v>27</v>
      </c>
      <c r="I262" s="2" t="s">
        <v>22</v>
      </c>
      <c r="J262" s="2" t="s">
        <v>42</v>
      </c>
      <c r="K262" s="10">
        <v>0</v>
      </c>
      <c r="L262" s="2" t="s">
        <v>2</v>
      </c>
      <c r="M262" s="4">
        <f>M261+7</f>
        <v>45989</v>
      </c>
      <c r="N262" s="30"/>
    </row>
    <row r="263" spans="2:14" ht="15.75" hidden="1" thickBot="1" x14ac:dyDescent="0.3">
      <c r="B263" s="55" t="str">
        <f t="shared" si="17"/>
        <v>JOAQUIM GOMES</v>
      </c>
      <c r="C263" s="67"/>
      <c r="D263" s="70"/>
      <c r="E263" s="70"/>
      <c r="F263" s="70"/>
      <c r="G263" s="70"/>
      <c r="H263" s="2" t="s">
        <v>27</v>
      </c>
      <c r="I263" s="2" t="s">
        <v>25</v>
      </c>
      <c r="J263" s="2" t="s">
        <v>43</v>
      </c>
      <c r="K263" s="10">
        <v>0</v>
      </c>
      <c r="L263" s="2" t="s">
        <v>2</v>
      </c>
      <c r="M263" s="4">
        <f>M268</f>
        <v>46031</v>
      </c>
      <c r="N263" s="32"/>
    </row>
    <row r="264" spans="2:14" ht="15.75" hidden="1" thickBot="1" x14ac:dyDescent="0.3">
      <c r="B264" s="55" t="str">
        <f t="shared" si="17"/>
        <v>JOAQUIM GOMES</v>
      </c>
      <c r="C264" s="67"/>
      <c r="D264" s="70"/>
      <c r="E264" s="70"/>
      <c r="F264" s="70"/>
      <c r="G264" s="70"/>
      <c r="H264" s="3" t="s">
        <v>28</v>
      </c>
      <c r="I264" s="3" t="s">
        <v>23</v>
      </c>
      <c r="J264" s="3" t="s">
        <v>50</v>
      </c>
      <c r="K264" s="11">
        <f>K254</f>
        <v>0</v>
      </c>
      <c r="L264" s="3" t="str">
        <f>L254</f>
        <v>Pendente</v>
      </c>
      <c r="M264" s="5">
        <f>M254</f>
        <v>45996</v>
      </c>
      <c r="N264" s="31"/>
    </row>
    <row r="265" spans="2:14" ht="15.75" hidden="1" thickBot="1" x14ac:dyDescent="0.3">
      <c r="B265" s="55" t="str">
        <f t="shared" si="17"/>
        <v>JOAQUIM GOMES</v>
      </c>
      <c r="C265" s="67"/>
      <c r="D265" s="70"/>
      <c r="E265" s="70"/>
      <c r="F265" s="70"/>
      <c r="G265" s="70"/>
      <c r="H265" s="3" t="s">
        <v>28</v>
      </c>
      <c r="I265" s="3" t="s">
        <v>22</v>
      </c>
      <c r="J265" s="3" t="s">
        <v>38</v>
      </c>
      <c r="K265" s="11">
        <f>K256</f>
        <v>0</v>
      </c>
      <c r="L265" s="3" t="str">
        <f>L256</f>
        <v>Pendente</v>
      </c>
      <c r="M265" s="5">
        <f>M256</f>
        <v>45961</v>
      </c>
      <c r="N265" s="29" t="s">
        <v>18</v>
      </c>
    </row>
    <row r="266" spans="2:14" ht="15.75" hidden="1" thickBot="1" x14ac:dyDescent="0.3">
      <c r="B266" s="55" t="str">
        <f t="shared" si="17"/>
        <v>JOAQUIM GOMES</v>
      </c>
      <c r="C266" s="67"/>
      <c r="D266" s="70"/>
      <c r="E266" s="70"/>
      <c r="F266" s="70"/>
      <c r="G266" s="70"/>
      <c r="H266" s="3" t="s">
        <v>28</v>
      </c>
      <c r="I266" s="3" t="s">
        <v>25</v>
      </c>
      <c r="J266" s="3" t="s">
        <v>41</v>
      </c>
      <c r="K266" s="11">
        <v>0</v>
      </c>
      <c r="L266" s="3" t="s">
        <v>2</v>
      </c>
      <c r="M266" s="5">
        <f>M261</f>
        <v>45982</v>
      </c>
      <c r="N266" s="31"/>
    </row>
    <row r="267" spans="2:14" ht="15.75" hidden="1" thickBot="1" x14ac:dyDescent="0.3">
      <c r="B267" s="55" t="str">
        <f t="shared" si="17"/>
        <v>JOAQUIM GOMES</v>
      </c>
      <c r="C267" s="67"/>
      <c r="D267" s="70"/>
      <c r="E267" s="70"/>
      <c r="F267" s="70"/>
      <c r="G267" s="70"/>
      <c r="H267" s="3" t="s">
        <v>28</v>
      </c>
      <c r="I267" s="3" t="s">
        <v>22</v>
      </c>
      <c r="J267" s="3" t="s">
        <v>42</v>
      </c>
      <c r="K267" s="11">
        <v>0</v>
      </c>
      <c r="L267" s="3" t="s">
        <v>2</v>
      </c>
      <c r="M267" s="5">
        <f>M266+7</f>
        <v>45989</v>
      </c>
      <c r="N267" s="31"/>
    </row>
    <row r="268" spans="2:14" ht="15.75" hidden="1" thickBot="1" x14ac:dyDescent="0.3">
      <c r="B268" s="55" t="str">
        <f t="shared" si="17"/>
        <v>JOAQUIM GOMES</v>
      </c>
      <c r="C268" s="67"/>
      <c r="D268" s="70"/>
      <c r="E268" s="70"/>
      <c r="F268" s="70"/>
      <c r="G268" s="70"/>
      <c r="H268" s="3" t="s">
        <v>28</v>
      </c>
      <c r="I268" s="3" t="s">
        <v>25</v>
      </c>
      <c r="J268" s="3" t="s">
        <v>43</v>
      </c>
      <c r="K268" s="11">
        <v>0</v>
      </c>
      <c r="L268" s="3" t="s">
        <v>2</v>
      </c>
      <c r="M268" s="5">
        <f>M273</f>
        <v>46031</v>
      </c>
      <c r="N268" s="29"/>
    </row>
    <row r="269" spans="2:14" ht="15.75" hidden="1" thickBot="1" x14ac:dyDescent="0.3">
      <c r="B269" s="55" t="str">
        <f t="shared" si="17"/>
        <v>JOAQUIM GOMES</v>
      </c>
      <c r="C269" s="67"/>
      <c r="D269" s="70"/>
      <c r="E269" s="70"/>
      <c r="F269" s="70"/>
      <c r="G269" s="70"/>
      <c r="H269" s="2" t="s">
        <v>20</v>
      </c>
      <c r="I269" s="2" t="s">
        <v>23</v>
      </c>
      <c r="J269" s="2" t="s">
        <v>50</v>
      </c>
      <c r="K269" s="10">
        <f>K254</f>
        <v>0</v>
      </c>
      <c r="L269" s="2" t="str">
        <f>L254</f>
        <v>Pendente</v>
      </c>
      <c r="M269" s="4">
        <f>M254</f>
        <v>45996</v>
      </c>
      <c r="N269" s="30"/>
    </row>
    <row r="270" spans="2:14" ht="15.75" hidden="1" thickBot="1" x14ac:dyDescent="0.3">
      <c r="B270" s="55" t="str">
        <f t="shared" si="17"/>
        <v>JOAQUIM GOMES</v>
      </c>
      <c r="C270" s="67"/>
      <c r="D270" s="70"/>
      <c r="E270" s="70"/>
      <c r="F270" s="70"/>
      <c r="G270" s="70"/>
      <c r="H270" s="2" t="s">
        <v>20</v>
      </c>
      <c r="I270" s="2" t="s">
        <v>22</v>
      </c>
      <c r="J270" s="2" t="s">
        <v>38</v>
      </c>
      <c r="K270" s="10">
        <f>K256</f>
        <v>0</v>
      </c>
      <c r="L270" s="2" t="str">
        <f>L256</f>
        <v>Pendente</v>
      </c>
      <c r="M270" s="4">
        <f>M256</f>
        <v>45961</v>
      </c>
      <c r="N270" s="32" t="s">
        <v>18</v>
      </c>
    </row>
    <row r="271" spans="2:14" ht="15.75" hidden="1" thickBot="1" x14ac:dyDescent="0.3">
      <c r="B271" s="55" t="str">
        <f t="shared" si="17"/>
        <v>JOAQUIM GOMES</v>
      </c>
      <c r="C271" s="67"/>
      <c r="D271" s="70"/>
      <c r="E271" s="70"/>
      <c r="F271" s="70"/>
      <c r="G271" s="70"/>
      <c r="H271" s="2" t="s">
        <v>20</v>
      </c>
      <c r="I271" s="2" t="s">
        <v>25</v>
      </c>
      <c r="J271" s="2" t="s">
        <v>41</v>
      </c>
      <c r="K271" s="10">
        <v>0</v>
      </c>
      <c r="L271" s="2" t="s">
        <v>2</v>
      </c>
      <c r="M271" s="4">
        <f>M266+21</f>
        <v>46003</v>
      </c>
      <c r="N271" s="30"/>
    </row>
    <row r="272" spans="2:14" ht="15.75" hidden="1" thickBot="1" x14ac:dyDescent="0.3">
      <c r="B272" s="55" t="str">
        <f t="shared" si="17"/>
        <v>JOAQUIM GOMES</v>
      </c>
      <c r="C272" s="67"/>
      <c r="D272" s="70"/>
      <c r="E272" s="70"/>
      <c r="F272" s="70"/>
      <c r="G272" s="70"/>
      <c r="H272" s="2" t="s">
        <v>20</v>
      </c>
      <c r="I272" s="2" t="s">
        <v>22</v>
      </c>
      <c r="J272" s="2" t="s">
        <v>42</v>
      </c>
      <c r="K272" s="10">
        <v>0</v>
      </c>
      <c r="L272" s="2" t="s">
        <v>2</v>
      </c>
      <c r="M272" s="4">
        <f>M271+14</f>
        <v>46017</v>
      </c>
      <c r="N272" s="30"/>
    </row>
    <row r="273" spans="2:14" ht="15.75" hidden="1" thickBot="1" x14ac:dyDescent="0.3">
      <c r="B273" s="55" t="str">
        <f t="shared" si="17"/>
        <v>JOAQUIM GOMES</v>
      </c>
      <c r="C273" s="67"/>
      <c r="D273" s="70"/>
      <c r="E273" s="70"/>
      <c r="F273" s="70"/>
      <c r="G273" s="70"/>
      <c r="H273" s="2" t="s">
        <v>20</v>
      </c>
      <c r="I273" s="2" t="s">
        <v>25</v>
      </c>
      <c r="J273" s="2" t="s">
        <v>43</v>
      </c>
      <c r="K273" s="10">
        <v>0</v>
      </c>
      <c r="L273" s="2" t="s">
        <v>2</v>
      </c>
      <c r="M273" s="4">
        <f>M282</f>
        <v>46031</v>
      </c>
      <c r="N273" s="32"/>
    </row>
    <row r="274" spans="2:14" ht="15.75" hidden="1" thickBot="1" x14ac:dyDescent="0.3">
      <c r="B274" s="55" t="str">
        <f t="shared" si="17"/>
        <v>JOAQUIM GOMES</v>
      </c>
      <c r="C274" s="67"/>
      <c r="D274" s="70"/>
      <c r="E274" s="70"/>
      <c r="F274" s="70"/>
      <c r="G274" s="70"/>
      <c r="H274" s="3" t="s">
        <v>30</v>
      </c>
      <c r="I274" s="3" t="s">
        <v>23</v>
      </c>
      <c r="J274" s="3" t="s">
        <v>50</v>
      </c>
      <c r="K274" s="11">
        <f>K254</f>
        <v>0</v>
      </c>
      <c r="L274" s="3" t="str">
        <f>L254</f>
        <v>Pendente</v>
      </c>
      <c r="M274" s="5">
        <f>M254</f>
        <v>45996</v>
      </c>
      <c r="N274" s="31"/>
    </row>
    <row r="275" spans="2:14" ht="15.75" hidden="1" thickBot="1" x14ac:dyDescent="0.3">
      <c r="B275" s="55" t="str">
        <f t="shared" si="17"/>
        <v>JOAQUIM GOMES</v>
      </c>
      <c r="C275" s="67"/>
      <c r="D275" s="70"/>
      <c r="E275" s="70"/>
      <c r="F275" s="70"/>
      <c r="G275" s="70"/>
      <c r="H275" s="3" t="s">
        <v>30</v>
      </c>
      <c r="I275" s="3" t="s">
        <v>22</v>
      </c>
      <c r="J275" s="3" t="s">
        <v>38</v>
      </c>
      <c r="K275" s="11">
        <f t="shared" ref="K275:M277" si="18">K256</f>
        <v>0</v>
      </c>
      <c r="L275" s="3" t="str">
        <f t="shared" si="18"/>
        <v>Pendente</v>
      </c>
      <c r="M275" s="5">
        <f t="shared" si="18"/>
        <v>45961</v>
      </c>
      <c r="N275" s="29" t="s">
        <v>18</v>
      </c>
    </row>
    <row r="276" spans="2:14" ht="15.75" hidden="1" thickBot="1" x14ac:dyDescent="0.3">
      <c r="B276" s="55" t="str">
        <f t="shared" si="17"/>
        <v>JOAQUIM GOMES</v>
      </c>
      <c r="C276" s="67"/>
      <c r="D276" s="70"/>
      <c r="E276" s="70"/>
      <c r="F276" s="70"/>
      <c r="G276" s="70"/>
      <c r="H276" s="3" t="s">
        <v>30</v>
      </c>
      <c r="I276" s="3" t="s">
        <v>25</v>
      </c>
      <c r="J276" s="3" t="s">
        <v>39</v>
      </c>
      <c r="K276" s="11">
        <f t="shared" si="18"/>
        <v>1</v>
      </c>
      <c r="L276" s="3" t="str">
        <f t="shared" si="18"/>
        <v>Concluído</v>
      </c>
      <c r="M276" s="5" t="str">
        <f t="shared" si="18"/>
        <v>-</v>
      </c>
      <c r="N276" s="29"/>
    </row>
    <row r="277" spans="2:14" ht="15.75" hidden="1" thickBot="1" x14ac:dyDescent="0.3">
      <c r="B277" s="55" t="str">
        <f t="shared" si="17"/>
        <v>JOAQUIM GOMES</v>
      </c>
      <c r="C277" s="67"/>
      <c r="D277" s="70"/>
      <c r="E277" s="70"/>
      <c r="F277" s="70"/>
      <c r="G277" s="70"/>
      <c r="H277" s="3" t="s">
        <v>30</v>
      </c>
      <c r="I277" s="3" t="s">
        <v>22</v>
      </c>
      <c r="J277" s="3" t="s">
        <v>40</v>
      </c>
      <c r="K277" s="11">
        <f t="shared" si="18"/>
        <v>0</v>
      </c>
      <c r="L277" s="3" t="str">
        <f t="shared" si="18"/>
        <v>Pendente</v>
      </c>
      <c r="M277" s="5">
        <f t="shared" si="18"/>
        <v>45968</v>
      </c>
      <c r="N277" s="29"/>
    </row>
    <row r="278" spans="2:14" ht="15.75" hidden="1" thickBot="1" x14ac:dyDescent="0.3">
      <c r="B278" s="55" t="str">
        <f t="shared" si="17"/>
        <v>JOAQUIM GOMES</v>
      </c>
      <c r="C278" s="67"/>
      <c r="D278" s="70"/>
      <c r="E278" s="70"/>
      <c r="F278" s="70"/>
      <c r="G278" s="70"/>
      <c r="H278" s="3" t="s">
        <v>30</v>
      </c>
      <c r="I278" s="3" t="s">
        <v>25</v>
      </c>
      <c r="J278" s="3" t="s">
        <v>41</v>
      </c>
      <c r="K278" s="11">
        <v>0</v>
      </c>
      <c r="L278" s="3" t="s">
        <v>2</v>
      </c>
      <c r="M278" s="5">
        <f>M267+28</f>
        <v>46017</v>
      </c>
      <c r="N278" s="31"/>
    </row>
    <row r="279" spans="2:14" ht="15.75" hidden="1" thickBot="1" x14ac:dyDescent="0.3">
      <c r="B279" s="55" t="str">
        <f t="shared" si="17"/>
        <v>JOAQUIM GOMES</v>
      </c>
      <c r="C279" s="67"/>
      <c r="D279" s="70"/>
      <c r="E279" s="70"/>
      <c r="F279" s="70"/>
      <c r="G279" s="70"/>
      <c r="H279" s="3" t="s">
        <v>30</v>
      </c>
      <c r="I279" s="3" t="s">
        <v>22</v>
      </c>
      <c r="J279" s="3" t="s">
        <v>42</v>
      </c>
      <c r="K279" s="11">
        <v>0</v>
      </c>
      <c r="L279" s="3" t="s">
        <v>2</v>
      </c>
      <c r="M279" s="5">
        <f>M278+7</f>
        <v>46024</v>
      </c>
      <c r="N279" s="31"/>
    </row>
    <row r="280" spans="2:14" ht="15.75" hidden="1" thickBot="1" x14ac:dyDescent="0.3">
      <c r="B280" s="55" t="str">
        <f t="shared" si="17"/>
        <v>JOAQUIM GOMES</v>
      </c>
      <c r="C280" s="67"/>
      <c r="D280" s="70"/>
      <c r="E280" s="70"/>
      <c r="F280" s="70"/>
      <c r="G280" s="70"/>
      <c r="H280" s="3" t="s">
        <v>30</v>
      </c>
      <c r="I280" s="3" t="s">
        <v>25</v>
      </c>
      <c r="J280" s="3" t="s">
        <v>43</v>
      </c>
      <c r="K280" s="11">
        <v>0</v>
      </c>
      <c r="L280" s="3" t="s">
        <v>2</v>
      </c>
      <c r="M280" s="5">
        <f>M279+14</f>
        <v>46038</v>
      </c>
      <c r="N280" s="29"/>
    </row>
    <row r="281" spans="2:14" ht="15.75" hidden="1" thickBot="1" x14ac:dyDescent="0.3">
      <c r="B281" s="55" t="str">
        <f t="shared" si="17"/>
        <v>JOAQUIM GOMES</v>
      </c>
      <c r="C281" s="67"/>
      <c r="D281" s="70"/>
      <c r="E281" s="70"/>
      <c r="F281" s="70"/>
      <c r="G281" s="70"/>
      <c r="H281" s="2" t="s">
        <v>29</v>
      </c>
      <c r="I281" s="2" t="s">
        <v>23</v>
      </c>
      <c r="J281" s="2" t="s">
        <v>46</v>
      </c>
      <c r="K281" s="10">
        <f>K254</f>
        <v>0</v>
      </c>
      <c r="L281" s="2" t="str">
        <f>L254</f>
        <v>Pendente</v>
      </c>
      <c r="M281" s="4">
        <f>M254</f>
        <v>45996</v>
      </c>
      <c r="N281" s="32"/>
    </row>
    <row r="282" spans="2:14" ht="15.75" hidden="1" thickBot="1" x14ac:dyDescent="0.3">
      <c r="B282" s="56" t="str">
        <f t="shared" si="17"/>
        <v>JOAQUIM GOMES</v>
      </c>
      <c r="C282" s="68"/>
      <c r="D282" s="71"/>
      <c r="E282" s="71"/>
      <c r="F282" s="71"/>
      <c r="G282" s="71"/>
      <c r="H282" s="34" t="s">
        <v>29</v>
      </c>
      <c r="I282" s="34" t="s">
        <v>25</v>
      </c>
      <c r="J282" s="34" t="s">
        <v>47</v>
      </c>
      <c r="K282" s="35">
        <v>0</v>
      </c>
      <c r="L282" s="34" t="s">
        <v>2</v>
      </c>
      <c r="M282" s="36">
        <f>M278+14</f>
        <v>46031</v>
      </c>
      <c r="N282" s="57"/>
    </row>
    <row r="283" spans="2:14" ht="15.75" hidden="1" thickBot="1" x14ac:dyDescent="0.3">
      <c r="B283" s="38" t="str">
        <f>$C$283</f>
        <v>NOVO LINO</v>
      </c>
      <c r="C283" s="60" t="s">
        <v>15</v>
      </c>
      <c r="D283" s="63">
        <v>45839</v>
      </c>
      <c r="E283" s="63">
        <v>46017</v>
      </c>
      <c r="F283" s="63" t="s">
        <v>2</v>
      </c>
      <c r="G283" s="63">
        <f>N313</f>
        <v>46087</v>
      </c>
      <c r="H283" s="39" t="s">
        <v>17</v>
      </c>
      <c r="I283" s="39" t="s">
        <v>22</v>
      </c>
      <c r="J283" s="39" t="s">
        <v>53</v>
      </c>
      <c r="K283" s="59">
        <v>1</v>
      </c>
      <c r="L283" s="39" t="s">
        <v>4</v>
      </c>
      <c r="M283" s="41">
        <v>45992</v>
      </c>
      <c r="N283" s="42" t="s">
        <v>18</v>
      </c>
    </row>
    <row r="284" spans="2:14" ht="15.75" hidden="1" thickBot="1" x14ac:dyDescent="0.3">
      <c r="B284" s="43" t="str">
        <f t="shared" ref="B284:B313" si="19">$C$283</f>
        <v>NOVO LINO</v>
      </c>
      <c r="C284" s="61"/>
      <c r="D284" s="64"/>
      <c r="E284" s="64"/>
      <c r="F284" s="64"/>
      <c r="G284" s="64"/>
      <c r="H284" s="3" t="s">
        <v>24</v>
      </c>
      <c r="I284" s="3" t="s">
        <v>22</v>
      </c>
      <c r="J284" s="3" t="s">
        <v>54</v>
      </c>
      <c r="K284" s="11" t="s">
        <v>18</v>
      </c>
      <c r="L284" s="3" t="s">
        <v>3</v>
      </c>
      <c r="M284" s="5" t="s">
        <v>18</v>
      </c>
      <c r="N284" s="29" t="s">
        <v>18</v>
      </c>
    </row>
    <row r="285" spans="2:14" ht="15.75" hidden="1" thickBot="1" x14ac:dyDescent="0.3">
      <c r="B285" s="43" t="str">
        <f t="shared" si="19"/>
        <v>NOVO LINO</v>
      </c>
      <c r="C285" s="61"/>
      <c r="D285" s="64"/>
      <c r="E285" s="64"/>
      <c r="F285" s="64"/>
      <c r="G285" s="64"/>
      <c r="H285" s="2" t="s">
        <v>49</v>
      </c>
      <c r="I285" s="2" t="s">
        <v>23</v>
      </c>
      <c r="J285" s="2" t="s">
        <v>50</v>
      </c>
      <c r="K285" s="10">
        <v>1</v>
      </c>
      <c r="L285" s="2" t="s">
        <v>4</v>
      </c>
      <c r="M285" s="4">
        <v>46010</v>
      </c>
      <c r="N285" s="30" t="s">
        <v>18</v>
      </c>
    </row>
    <row r="286" spans="2:14" ht="15.75" hidden="1" thickBot="1" x14ac:dyDescent="0.3">
      <c r="B286" s="43" t="str">
        <f t="shared" si="19"/>
        <v>NOVO LINO</v>
      </c>
      <c r="C286" s="61"/>
      <c r="D286" s="64"/>
      <c r="E286" s="64"/>
      <c r="F286" s="64"/>
      <c r="G286" s="64"/>
      <c r="H286" s="3" t="s">
        <v>1</v>
      </c>
      <c r="I286" s="3" t="s">
        <v>22</v>
      </c>
      <c r="J286" s="3" t="s">
        <v>52</v>
      </c>
      <c r="K286" s="11">
        <v>1</v>
      </c>
      <c r="L286" s="3" t="s">
        <v>4</v>
      </c>
      <c r="M286" s="5">
        <v>45992</v>
      </c>
      <c r="N286" s="29" t="s">
        <v>18</v>
      </c>
    </row>
    <row r="287" spans="2:14" ht="15.75" hidden="1" thickBot="1" x14ac:dyDescent="0.3">
      <c r="B287" s="43" t="str">
        <f t="shared" si="19"/>
        <v>NOVO LINO</v>
      </c>
      <c r="C287" s="61"/>
      <c r="D287" s="64"/>
      <c r="E287" s="64"/>
      <c r="F287" s="64"/>
      <c r="G287" s="64"/>
      <c r="H287" s="2" t="s">
        <v>16</v>
      </c>
      <c r="I287" s="2" t="s">
        <v>22</v>
      </c>
      <c r="J287" s="2" t="s">
        <v>38</v>
      </c>
      <c r="K287" s="10" t="s">
        <v>18</v>
      </c>
      <c r="L287" s="2" t="s">
        <v>3</v>
      </c>
      <c r="M287" s="4" t="s">
        <v>18</v>
      </c>
      <c r="N287" s="32" t="s">
        <v>18</v>
      </c>
    </row>
    <row r="288" spans="2:14" ht="15.75" hidden="1" thickBot="1" x14ac:dyDescent="0.3">
      <c r="B288" s="43" t="str">
        <f t="shared" si="19"/>
        <v>NOVO LINO</v>
      </c>
      <c r="C288" s="61"/>
      <c r="D288" s="64"/>
      <c r="E288" s="64"/>
      <c r="F288" s="64"/>
      <c r="G288" s="64"/>
      <c r="H288" s="3" t="s">
        <v>19</v>
      </c>
      <c r="I288" s="3" t="s">
        <v>25</v>
      </c>
      <c r="J288" s="3" t="s">
        <v>39</v>
      </c>
      <c r="K288" s="11">
        <v>1</v>
      </c>
      <c r="L288" s="3" t="s">
        <v>4</v>
      </c>
      <c r="M288" s="5" t="s">
        <v>18</v>
      </c>
      <c r="N288" s="31">
        <v>46038</v>
      </c>
    </row>
    <row r="289" spans="2:14" ht="15.75" hidden="1" thickBot="1" x14ac:dyDescent="0.3">
      <c r="B289" s="43" t="str">
        <f t="shared" si="19"/>
        <v>NOVO LINO</v>
      </c>
      <c r="C289" s="61"/>
      <c r="D289" s="64"/>
      <c r="E289" s="64"/>
      <c r="F289" s="64"/>
      <c r="G289" s="64"/>
      <c r="H289" s="3" t="s">
        <v>19</v>
      </c>
      <c r="I289" s="3" t="s">
        <v>22</v>
      </c>
      <c r="J289" s="3" t="s">
        <v>40</v>
      </c>
      <c r="K289" s="11">
        <v>1</v>
      </c>
      <c r="L289" s="3" t="s">
        <v>4</v>
      </c>
      <c r="M289" s="5">
        <v>45961</v>
      </c>
      <c r="N289" s="31">
        <v>46066</v>
      </c>
    </row>
    <row r="290" spans="2:14" ht="15.75" hidden="1" thickBot="1" x14ac:dyDescent="0.3">
      <c r="B290" s="43" t="str">
        <f t="shared" si="19"/>
        <v>NOVO LINO</v>
      </c>
      <c r="C290" s="61"/>
      <c r="D290" s="64"/>
      <c r="E290" s="64"/>
      <c r="F290" s="64"/>
      <c r="G290" s="64"/>
      <c r="H290" s="2" t="s">
        <v>27</v>
      </c>
      <c r="I290" s="2" t="s">
        <v>23</v>
      </c>
      <c r="J290" s="2" t="s">
        <v>50</v>
      </c>
      <c r="K290" s="10">
        <f>K285</f>
        <v>1</v>
      </c>
      <c r="L290" s="2" t="str">
        <f>L285</f>
        <v>Concluído</v>
      </c>
      <c r="M290" s="4">
        <f>M285</f>
        <v>46010</v>
      </c>
      <c r="N290" s="30" t="s">
        <v>18</v>
      </c>
    </row>
    <row r="291" spans="2:14" ht="15.75" hidden="1" thickBot="1" x14ac:dyDescent="0.3">
      <c r="B291" s="43" t="str">
        <f t="shared" si="19"/>
        <v>NOVO LINO</v>
      </c>
      <c r="C291" s="61"/>
      <c r="D291" s="64"/>
      <c r="E291" s="64"/>
      <c r="F291" s="64"/>
      <c r="G291" s="64"/>
      <c r="H291" s="2" t="s">
        <v>27</v>
      </c>
      <c r="I291" s="2" t="s">
        <v>22</v>
      </c>
      <c r="J291" s="2" t="s">
        <v>38</v>
      </c>
      <c r="K291" s="10" t="str">
        <f>K287</f>
        <v>-</v>
      </c>
      <c r="L291" s="2" t="str">
        <f>L287</f>
        <v>N/A</v>
      </c>
      <c r="M291" s="4" t="str">
        <f>M287</f>
        <v>-</v>
      </c>
      <c r="N291" s="32" t="s">
        <v>18</v>
      </c>
    </row>
    <row r="292" spans="2:14" ht="15.75" hidden="1" thickBot="1" x14ac:dyDescent="0.3">
      <c r="B292" s="43" t="str">
        <f t="shared" si="19"/>
        <v>NOVO LINO</v>
      </c>
      <c r="C292" s="61"/>
      <c r="D292" s="64"/>
      <c r="E292" s="64"/>
      <c r="F292" s="64"/>
      <c r="G292" s="64"/>
      <c r="H292" s="2" t="s">
        <v>27</v>
      </c>
      <c r="I292" s="2" t="s">
        <v>25</v>
      </c>
      <c r="J292" s="2" t="s">
        <v>41</v>
      </c>
      <c r="K292" s="10">
        <v>1</v>
      </c>
      <c r="L292" s="2" t="s">
        <v>4</v>
      </c>
      <c r="M292" s="4">
        <v>46010</v>
      </c>
      <c r="N292" s="30" t="s">
        <v>18</v>
      </c>
    </row>
    <row r="293" spans="2:14" ht="15.75" hidden="1" thickBot="1" x14ac:dyDescent="0.3">
      <c r="B293" s="43" t="str">
        <f t="shared" si="19"/>
        <v>NOVO LINO</v>
      </c>
      <c r="C293" s="61"/>
      <c r="D293" s="64"/>
      <c r="E293" s="64"/>
      <c r="F293" s="64"/>
      <c r="G293" s="64"/>
      <c r="H293" s="2" t="s">
        <v>27</v>
      </c>
      <c r="I293" s="2" t="s">
        <v>22</v>
      </c>
      <c r="J293" s="2" t="s">
        <v>42</v>
      </c>
      <c r="K293" s="10">
        <v>0</v>
      </c>
      <c r="L293" s="2" t="s">
        <v>2</v>
      </c>
      <c r="M293" s="4">
        <f>M292+7</f>
        <v>46017</v>
      </c>
      <c r="N293" s="30" t="s">
        <v>18</v>
      </c>
    </row>
    <row r="294" spans="2:14" ht="15.75" hidden="1" thickBot="1" x14ac:dyDescent="0.3">
      <c r="B294" s="43" t="str">
        <f t="shared" si="19"/>
        <v>NOVO LINO</v>
      </c>
      <c r="C294" s="61"/>
      <c r="D294" s="64"/>
      <c r="E294" s="64"/>
      <c r="F294" s="64"/>
      <c r="G294" s="64"/>
      <c r="H294" s="2" t="s">
        <v>27</v>
      </c>
      <c r="I294" s="2" t="s">
        <v>25</v>
      </c>
      <c r="J294" s="2" t="s">
        <v>43</v>
      </c>
      <c r="K294" s="10">
        <v>0</v>
      </c>
      <c r="L294" s="2" t="s">
        <v>2</v>
      </c>
      <c r="M294" s="4">
        <f>M299</f>
        <v>46052</v>
      </c>
      <c r="N294" s="32" t="s">
        <v>18</v>
      </c>
    </row>
    <row r="295" spans="2:14" ht="15.75" hidden="1" thickBot="1" x14ac:dyDescent="0.3">
      <c r="B295" s="43" t="str">
        <f t="shared" si="19"/>
        <v>NOVO LINO</v>
      </c>
      <c r="C295" s="61"/>
      <c r="D295" s="64"/>
      <c r="E295" s="64"/>
      <c r="F295" s="64"/>
      <c r="G295" s="64"/>
      <c r="H295" s="3" t="s">
        <v>28</v>
      </c>
      <c r="I295" s="3" t="s">
        <v>23</v>
      </c>
      <c r="J295" s="3" t="s">
        <v>50</v>
      </c>
      <c r="K295" s="11">
        <f>K285</f>
        <v>1</v>
      </c>
      <c r="L295" s="3" t="str">
        <f>L285</f>
        <v>Concluído</v>
      </c>
      <c r="M295" s="5">
        <f>M285</f>
        <v>46010</v>
      </c>
      <c r="N295" s="31" t="s">
        <v>18</v>
      </c>
    </row>
    <row r="296" spans="2:14" ht="15.75" hidden="1" thickBot="1" x14ac:dyDescent="0.3">
      <c r="B296" s="43" t="str">
        <f t="shared" si="19"/>
        <v>NOVO LINO</v>
      </c>
      <c r="C296" s="61"/>
      <c r="D296" s="64"/>
      <c r="E296" s="64"/>
      <c r="F296" s="64"/>
      <c r="G296" s="64"/>
      <c r="H296" s="3" t="s">
        <v>28</v>
      </c>
      <c r="I296" s="3" t="s">
        <v>22</v>
      </c>
      <c r="J296" s="3" t="s">
        <v>38</v>
      </c>
      <c r="K296" s="11" t="str">
        <f>K287</f>
        <v>-</v>
      </c>
      <c r="L296" s="3" t="str">
        <f>L287</f>
        <v>N/A</v>
      </c>
      <c r="M296" s="5" t="str">
        <f>M287</f>
        <v>-</v>
      </c>
      <c r="N296" s="29" t="s">
        <v>18</v>
      </c>
    </row>
    <row r="297" spans="2:14" ht="15.75" hidden="1" thickBot="1" x14ac:dyDescent="0.3">
      <c r="B297" s="43" t="str">
        <f t="shared" si="19"/>
        <v>NOVO LINO</v>
      </c>
      <c r="C297" s="61"/>
      <c r="D297" s="64"/>
      <c r="E297" s="64"/>
      <c r="F297" s="64"/>
      <c r="G297" s="64"/>
      <c r="H297" s="3" t="s">
        <v>28</v>
      </c>
      <c r="I297" s="3" t="s">
        <v>25</v>
      </c>
      <c r="J297" s="3" t="s">
        <v>41</v>
      </c>
      <c r="K297" s="11">
        <v>1</v>
      </c>
      <c r="L297" s="3" t="s">
        <v>4</v>
      </c>
      <c r="M297" s="5">
        <f>M292</f>
        <v>46010</v>
      </c>
      <c r="N297" s="31" t="s">
        <v>18</v>
      </c>
    </row>
    <row r="298" spans="2:14" ht="15.75" hidden="1" thickBot="1" x14ac:dyDescent="0.3">
      <c r="B298" s="43" t="str">
        <f t="shared" si="19"/>
        <v>NOVO LINO</v>
      </c>
      <c r="C298" s="61"/>
      <c r="D298" s="64"/>
      <c r="E298" s="64"/>
      <c r="F298" s="64"/>
      <c r="G298" s="64"/>
      <c r="H298" s="3" t="s">
        <v>28</v>
      </c>
      <c r="I298" s="3" t="s">
        <v>22</v>
      </c>
      <c r="J298" s="3" t="s">
        <v>42</v>
      </c>
      <c r="K298" s="11">
        <v>0</v>
      </c>
      <c r="L298" s="3" t="s">
        <v>2</v>
      </c>
      <c r="M298" s="5">
        <f>M297+7</f>
        <v>46017</v>
      </c>
      <c r="N298" s="31" t="s">
        <v>18</v>
      </c>
    </row>
    <row r="299" spans="2:14" ht="15.75" hidden="1" thickBot="1" x14ac:dyDescent="0.3">
      <c r="B299" s="43" t="str">
        <f t="shared" si="19"/>
        <v>NOVO LINO</v>
      </c>
      <c r="C299" s="61"/>
      <c r="D299" s="64"/>
      <c r="E299" s="64"/>
      <c r="F299" s="64"/>
      <c r="G299" s="64"/>
      <c r="H299" s="3" t="s">
        <v>28</v>
      </c>
      <c r="I299" s="3" t="s">
        <v>25</v>
      </c>
      <c r="J299" s="3" t="s">
        <v>43</v>
      </c>
      <c r="K299" s="11">
        <v>0</v>
      </c>
      <c r="L299" s="3" t="s">
        <v>2</v>
      </c>
      <c r="M299" s="5">
        <f>M304</f>
        <v>46052</v>
      </c>
      <c r="N299" s="29" t="s">
        <v>18</v>
      </c>
    </row>
    <row r="300" spans="2:14" ht="15.75" hidden="1" thickBot="1" x14ac:dyDescent="0.3">
      <c r="B300" s="43" t="str">
        <f t="shared" si="19"/>
        <v>NOVO LINO</v>
      </c>
      <c r="C300" s="61"/>
      <c r="D300" s="64"/>
      <c r="E300" s="64"/>
      <c r="F300" s="64"/>
      <c r="G300" s="64"/>
      <c r="H300" s="2" t="s">
        <v>20</v>
      </c>
      <c r="I300" s="2" t="s">
        <v>23</v>
      </c>
      <c r="J300" s="2" t="s">
        <v>50</v>
      </c>
      <c r="K300" s="10">
        <f>K285</f>
        <v>1</v>
      </c>
      <c r="L300" s="2" t="str">
        <f>L285</f>
        <v>Concluído</v>
      </c>
      <c r="M300" s="4">
        <f>M285</f>
        <v>46010</v>
      </c>
      <c r="N300" s="30" t="s">
        <v>18</v>
      </c>
    </row>
    <row r="301" spans="2:14" ht="15.75" hidden="1" thickBot="1" x14ac:dyDescent="0.3">
      <c r="B301" s="43" t="str">
        <f t="shared" si="19"/>
        <v>NOVO LINO</v>
      </c>
      <c r="C301" s="61"/>
      <c r="D301" s="64"/>
      <c r="E301" s="64"/>
      <c r="F301" s="64"/>
      <c r="G301" s="64"/>
      <c r="H301" s="2" t="s">
        <v>20</v>
      </c>
      <c r="I301" s="2" t="s">
        <v>22</v>
      </c>
      <c r="J301" s="2" t="s">
        <v>38</v>
      </c>
      <c r="K301" s="10" t="str">
        <f>K287</f>
        <v>-</v>
      </c>
      <c r="L301" s="2" t="str">
        <f>L287</f>
        <v>N/A</v>
      </c>
      <c r="M301" s="4" t="str">
        <f>M287</f>
        <v>-</v>
      </c>
      <c r="N301" s="32" t="s">
        <v>18</v>
      </c>
    </row>
    <row r="302" spans="2:14" ht="15.75" hidden="1" thickBot="1" x14ac:dyDescent="0.3">
      <c r="B302" s="43" t="str">
        <f t="shared" si="19"/>
        <v>NOVO LINO</v>
      </c>
      <c r="C302" s="61"/>
      <c r="D302" s="64"/>
      <c r="E302" s="64"/>
      <c r="F302" s="64"/>
      <c r="G302" s="64"/>
      <c r="H302" s="2" t="s">
        <v>20</v>
      </c>
      <c r="I302" s="2" t="s">
        <v>25</v>
      </c>
      <c r="J302" s="2" t="s">
        <v>41</v>
      </c>
      <c r="K302" s="10">
        <v>1</v>
      </c>
      <c r="L302" s="2" t="s">
        <v>2</v>
      </c>
      <c r="M302" s="4">
        <f>M297+21</f>
        <v>46031</v>
      </c>
      <c r="N302" s="30">
        <v>46049</v>
      </c>
    </row>
    <row r="303" spans="2:14" ht="15.75" hidden="1" thickBot="1" x14ac:dyDescent="0.3">
      <c r="B303" s="43" t="str">
        <f t="shared" si="19"/>
        <v>NOVO LINO</v>
      </c>
      <c r="C303" s="61"/>
      <c r="D303" s="64"/>
      <c r="E303" s="64"/>
      <c r="F303" s="64"/>
      <c r="G303" s="64"/>
      <c r="H303" s="2" t="s">
        <v>20</v>
      </c>
      <c r="I303" s="2" t="s">
        <v>22</v>
      </c>
      <c r="J303" s="2" t="s">
        <v>42</v>
      </c>
      <c r="K303" s="10">
        <v>0</v>
      </c>
      <c r="L303" s="2" t="s">
        <v>2</v>
      </c>
      <c r="M303" s="4">
        <f>M302+14</f>
        <v>46045</v>
      </c>
      <c r="N303" s="30" t="s">
        <v>18</v>
      </c>
    </row>
    <row r="304" spans="2:14" ht="15.75" hidden="1" thickBot="1" x14ac:dyDescent="0.3">
      <c r="B304" s="43" t="str">
        <f t="shared" si="19"/>
        <v>NOVO LINO</v>
      </c>
      <c r="C304" s="61"/>
      <c r="D304" s="64"/>
      <c r="E304" s="64"/>
      <c r="F304" s="64"/>
      <c r="G304" s="64"/>
      <c r="H304" s="2" t="s">
        <v>20</v>
      </c>
      <c r="I304" s="2" t="s">
        <v>25</v>
      </c>
      <c r="J304" s="2" t="s">
        <v>43</v>
      </c>
      <c r="K304" s="10">
        <v>0</v>
      </c>
      <c r="L304" s="2" t="s">
        <v>2</v>
      </c>
      <c r="M304" s="4">
        <f>M313</f>
        <v>46052</v>
      </c>
      <c r="N304" s="32" t="s">
        <v>18</v>
      </c>
    </row>
    <row r="305" spans="2:14" ht="15.75" hidden="1" thickBot="1" x14ac:dyDescent="0.3">
      <c r="B305" s="43" t="str">
        <f t="shared" si="19"/>
        <v>NOVO LINO</v>
      </c>
      <c r="C305" s="61"/>
      <c r="D305" s="64"/>
      <c r="E305" s="64"/>
      <c r="F305" s="64"/>
      <c r="G305" s="64"/>
      <c r="H305" s="3" t="s">
        <v>30</v>
      </c>
      <c r="I305" s="3" t="s">
        <v>23</v>
      </c>
      <c r="J305" s="3" t="s">
        <v>50</v>
      </c>
      <c r="K305" s="11">
        <f>K285</f>
        <v>1</v>
      </c>
      <c r="L305" s="3" t="str">
        <f>L285</f>
        <v>Concluído</v>
      </c>
      <c r="M305" s="5">
        <f>M285</f>
        <v>46010</v>
      </c>
      <c r="N305" s="31" t="s">
        <v>18</v>
      </c>
    </row>
    <row r="306" spans="2:14" ht="15.75" hidden="1" thickBot="1" x14ac:dyDescent="0.3">
      <c r="B306" s="43" t="str">
        <f t="shared" si="19"/>
        <v>NOVO LINO</v>
      </c>
      <c r="C306" s="61"/>
      <c r="D306" s="64"/>
      <c r="E306" s="64"/>
      <c r="F306" s="64"/>
      <c r="G306" s="64"/>
      <c r="H306" s="3" t="s">
        <v>30</v>
      </c>
      <c r="I306" s="3" t="s">
        <v>22</v>
      </c>
      <c r="J306" s="3" t="s">
        <v>38</v>
      </c>
      <c r="K306" s="11" t="str">
        <f t="shared" ref="K306:M308" si="20">K287</f>
        <v>-</v>
      </c>
      <c r="L306" s="3" t="str">
        <f t="shared" si="20"/>
        <v>N/A</v>
      </c>
      <c r="M306" s="5" t="str">
        <f t="shared" si="20"/>
        <v>-</v>
      </c>
      <c r="N306" s="29" t="s">
        <v>18</v>
      </c>
    </row>
    <row r="307" spans="2:14" ht="15.75" hidden="1" thickBot="1" x14ac:dyDescent="0.3">
      <c r="B307" s="43" t="str">
        <f t="shared" si="19"/>
        <v>NOVO LINO</v>
      </c>
      <c r="C307" s="61"/>
      <c r="D307" s="64"/>
      <c r="E307" s="64"/>
      <c r="F307" s="64"/>
      <c r="G307" s="64"/>
      <c r="H307" s="3" t="s">
        <v>30</v>
      </c>
      <c r="I307" s="3" t="s">
        <v>25</v>
      </c>
      <c r="J307" s="3" t="s">
        <v>39</v>
      </c>
      <c r="K307" s="11">
        <f t="shared" si="20"/>
        <v>1</v>
      </c>
      <c r="L307" s="3" t="str">
        <f t="shared" si="20"/>
        <v>Concluído</v>
      </c>
      <c r="M307" s="5" t="str">
        <f t="shared" si="20"/>
        <v>-</v>
      </c>
      <c r="N307" s="31">
        <v>46038</v>
      </c>
    </row>
    <row r="308" spans="2:14" ht="15.75" hidden="1" thickBot="1" x14ac:dyDescent="0.3">
      <c r="B308" s="43" t="str">
        <f t="shared" si="19"/>
        <v>NOVO LINO</v>
      </c>
      <c r="C308" s="61"/>
      <c r="D308" s="64"/>
      <c r="E308" s="64"/>
      <c r="F308" s="64"/>
      <c r="G308" s="64"/>
      <c r="H308" s="3" t="s">
        <v>30</v>
      </c>
      <c r="I308" s="3" t="s">
        <v>22</v>
      </c>
      <c r="J308" s="3" t="s">
        <v>40</v>
      </c>
      <c r="K308" s="11">
        <f>K289</f>
        <v>1</v>
      </c>
      <c r="L308" s="3" t="str">
        <f t="shared" si="20"/>
        <v>Concluído</v>
      </c>
      <c r="M308" s="5">
        <f t="shared" si="20"/>
        <v>45961</v>
      </c>
      <c r="N308" s="31">
        <f>N289</f>
        <v>46066</v>
      </c>
    </row>
    <row r="309" spans="2:14" ht="15.75" hidden="1" thickBot="1" x14ac:dyDescent="0.3">
      <c r="B309" s="43" t="str">
        <f t="shared" si="19"/>
        <v>NOVO LINO</v>
      </c>
      <c r="C309" s="61"/>
      <c r="D309" s="64"/>
      <c r="E309" s="64"/>
      <c r="F309" s="64"/>
      <c r="G309" s="64"/>
      <c r="H309" s="3" t="s">
        <v>30</v>
      </c>
      <c r="I309" s="3" t="s">
        <v>25</v>
      </c>
      <c r="J309" s="3" t="s">
        <v>41</v>
      </c>
      <c r="K309" s="11">
        <v>0.8</v>
      </c>
      <c r="L309" s="3" t="s">
        <v>2</v>
      </c>
      <c r="M309" s="5">
        <f>M298+28</f>
        <v>46045</v>
      </c>
      <c r="N309" s="31">
        <f>N308+14</f>
        <v>46080</v>
      </c>
    </row>
    <row r="310" spans="2:14" ht="15.75" hidden="1" thickBot="1" x14ac:dyDescent="0.3">
      <c r="B310" s="43" t="str">
        <f t="shared" si="19"/>
        <v>NOVO LINO</v>
      </c>
      <c r="C310" s="61"/>
      <c r="D310" s="64"/>
      <c r="E310" s="64"/>
      <c r="F310" s="64"/>
      <c r="G310" s="64"/>
      <c r="H310" s="3" t="s">
        <v>30</v>
      </c>
      <c r="I310" s="3" t="s">
        <v>22</v>
      </c>
      <c r="J310" s="3" t="s">
        <v>42</v>
      </c>
      <c r="K310" s="11">
        <v>0</v>
      </c>
      <c r="L310" s="3" t="s">
        <v>2</v>
      </c>
      <c r="M310" s="5">
        <f>M309+7</f>
        <v>46052</v>
      </c>
      <c r="N310" s="31">
        <f>N309+7</f>
        <v>46087</v>
      </c>
    </row>
    <row r="311" spans="2:14" ht="15.75" hidden="1" thickBot="1" x14ac:dyDescent="0.3">
      <c r="B311" s="43" t="str">
        <f t="shared" si="19"/>
        <v>NOVO LINO</v>
      </c>
      <c r="C311" s="61"/>
      <c r="D311" s="64"/>
      <c r="E311" s="64"/>
      <c r="F311" s="64"/>
      <c r="G311" s="64"/>
      <c r="H311" s="3" t="s">
        <v>30</v>
      </c>
      <c r="I311" s="3" t="s">
        <v>25</v>
      </c>
      <c r="J311" s="3" t="s">
        <v>43</v>
      </c>
      <c r="K311" s="11">
        <v>0</v>
      </c>
      <c r="L311" s="3" t="s">
        <v>2</v>
      </c>
      <c r="M311" s="5">
        <f>M310+14</f>
        <v>46066</v>
      </c>
      <c r="N311" s="31">
        <f>N310+14</f>
        <v>46101</v>
      </c>
    </row>
    <row r="312" spans="2:14" ht="15.75" hidden="1" thickBot="1" x14ac:dyDescent="0.3">
      <c r="B312" s="43" t="str">
        <f t="shared" si="19"/>
        <v>NOVO LINO</v>
      </c>
      <c r="C312" s="61"/>
      <c r="D312" s="64"/>
      <c r="E312" s="64"/>
      <c r="F312" s="64"/>
      <c r="G312" s="64"/>
      <c r="H312" s="2" t="s">
        <v>29</v>
      </c>
      <c r="I312" s="2" t="s">
        <v>23</v>
      </c>
      <c r="J312" s="2" t="s">
        <v>46</v>
      </c>
      <c r="K312" s="10">
        <f>K285</f>
        <v>1</v>
      </c>
      <c r="L312" s="2" t="str">
        <f>L285</f>
        <v>Concluído</v>
      </c>
      <c r="M312" s="4">
        <f>M285</f>
        <v>46010</v>
      </c>
      <c r="N312" s="32" t="s">
        <v>18</v>
      </c>
    </row>
    <row r="313" spans="2:14" ht="15.75" hidden="1" thickBot="1" x14ac:dyDescent="0.3">
      <c r="B313" s="49" t="str">
        <f t="shared" si="19"/>
        <v>NOVO LINO</v>
      </c>
      <c r="C313" s="62"/>
      <c r="D313" s="65"/>
      <c r="E313" s="65"/>
      <c r="F313" s="65"/>
      <c r="G313" s="65"/>
      <c r="H313" s="34" t="s">
        <v>29</v>
      </c>
      <c r="I313" s="34" t="s">
        <v>25</v>
      </c>
      <c r="J313" s="34" t="s">
        <v>47</v>
      </c>
      <c r="K313" s="35">
        <v>0</v>
      </c>
      <c r="L313" s="34" t="s">
        <v>2</v>
      </c>
      <c r="M313" s="36">
        <f>M309+7</f>
        <v>46052</v>
      </c>
      <c r="N313" s="37">
        <f>N309+7</f>
        <v>46087</v>
      </c>
    </row>
    <row r="314" spans="2:14" x14ac:dyDescent="0.25">
      <c r="B314" s="54" t="str">
        <f>$C$314</f>
        <v>UNIÃO DOS PALMARES</v>
      </c>
      <c r="C314" s="66" t="s">
        <v>6</v>
      </c>
      <c r="D314" s="69">
        <v>45719</v>
      </c>
      <c r="E314" s="69">
        <v>45863</v>
      </c>
      <c r="F314" s="72" t="s">
        <v>2</v>
      </c>
      <c r="G314" s="69">
        <f>N344</f>
        <v>46171</v>
      </c>
      <c r="H314" s="24" t="s">
        <v>17</v>
      </c>
      <c r="I314" s="24" t="s">
        <v>22</v>
      </c>
      <c r="J314" s="24" t="s">
        <v>53</v>
      </c>
      <c r="K314" s="25">
        <v>1</v>
      </c>
      <c r="L314" s="24" t="s">
        <v>4</v>
      </c>
      <c r="M314" s="26" t="s">
        <v>18</v>
      </c>
      <c r="N314" s="27" t="s">
        <v>18</v>
      </c>
    </row>
    <row r="315" spans="2:14" x14ac:dyDescent="0.25">
      <c r="B315" s="55" t="str">
        <f t="shared" ref="B315:B344" si="21">$C$314</f>
        <v>UNIÃO DOS PALMARES</v>
      </c>
      <c r="C315" s="67"/>
      <c r="D315" s="70"/>
      <c r="E315" s="70"/>
      <c r="F315" s="73"/>
      <c r="G315" s="70"/>
      <c r="H315" s="3" t="s">
        <v>24</v>
      </c>
      <c r="I315" s="3" t="s">
        <v>22</v>
      </c>
      <c r="J315" s="3" t="s">
        <v>54</v>
      </c>
      <c r="K315" s="11">
        <v>1</v>
      </c>
      <c r="L315" s="3" t="s">
        <v>4</v>
      </c>
      <c r="M315" s="5" t="s">
        <v>18</v>
      </c>
      <c r="N315" s="29" t="s">
        <v>18</v>
      </c>
    </row>
    <row r="316" spans="2:14" x14ac:dyDescent="0.25">
      <c r="B316" s="55" t="str">
        <f t="shared" si="21"/>
        <v>UNIÃO DOS PALMARES</v>
      </c>
      <c r="C316" s="67"/>
      <c r="D316" s="70"/>
      <c r="E316" s="70"/>
      <c r="F316" s="73"/>
      <c r="G316" s="70"/>
      <c r="H316" s="2" t="s">
        <v>49</v>
      </c>
      <c r="I316" s="2" t="s">
        <v>23</v>
      </c>
      <c r="J316" s="2" t="s">
        <v>50</v>
      </c>
      <c r="K316" s="10">
        <v>1</v>
      </c>
      <c r="L316" s="2" t="s">
        <v>4</v>
      </c>
      <c r="M316" s="4">
        <v>45933</v>
      </c>
      <c r="N316" s="30" t="s">
        <v>18</v>
      </c>
    </row>
    <row r="317" spans="2:14" x14ac:dyDescent="0.25">
      <c r="B317" s="55" t="str">
        <f t="shared" si="21"/>
        <v>UNIÃO DOS PALMARES</v>
      </c>
      <c r="C317" s="67"/>
      <c r="D317" s="70"/>
      <c r="E317" s="70"/>
      <c r="F317" s="73"/>
      <c r="G317" s="70"/>
      <c r="H317" s="3" t="s">
        <v>1</v>
      </c>
      <c r="I317" s="3" t="s">
        <v>22</v>
      </c>
      <c r="J317" s="3" t="s">
        <v>52</v>
      </c>
      <c r="K317" s="11">
        <v>1</v>
      </c>
      <c r="L317" s="3" t="s">
        <v>4</v>
      </c>
      <c r="M317" s="5" t="s">
        <v>18</v>
      </c>
      <c r="N317" s="31" t="s">
        <v>18</v>
      </c>
    </row>
    <row r="318" spans="2:14" x14ac:dyDescent="0.25">
      <c r="B318" s="55" t="str">
        <f t="shared" si="21"/>
        <v>UNIÃO DOS PALMARES</v>
      </c>
      <c r="C318" s="67"/>
      <c r="D318" s="70"/>
      <c r="E318" s="70"/>
      <c r="F318" s="73"/>
      <c r="G318" s="70"/>
      <c r="H318" s="2" t="s">
        <v>16</v>
      </c>
      <c r="I318" s="2" t="s">
        <v>22</v>
      </c>
      <c r="J318" s="2" t="s">
        <v>38</v>
      </c>
      <c r="K318" s="10">
        <v>1</v>
      </c>
      <c r="L318" s="2" t="s">
        <v>4</v>
      </c>
      <c r="M318" s="4">
        <v>45961</v>
      </c>
      <c r="N318" s="30">
        <v>45968</v>
      </c>
    </row>
    <row r="319" spans="2:14" x14ac:dyDescent="0.25">
      <c r="B319" s="55" t="str">
        <f t="shared" si="21"/>
        <v>UNIÃO DOS PALMARES</v>
      </c>
      <c r="C319" s="67"/>
      <c r="D319" s="70"/>
      <c r="E319" s="70"/>
      <c r="F319" s="73"/>
      <c r="G319" s="70"/>
      <c r="H319" s="3" t="s">
        <v>19</v>
      </c>
      <c r="I319" s="3" t="s">
        <v>25</v>
      </c>
      <c r="J319" s="3" t="s">
        <v>39</v>
      </c>
      <c r="K319" s="11">
        <v>1</v>
      </c>
      <c r="L319" s="3" t="s">
        <v>4</v>
      </c>
      <c r="M319" s="5" t="s">
        <v>18</v>
      </c>
      <c r="N319" s="29" t="s">
        <v>18</v>
      </c>
    </row>
    <row r="320" spans="2:14" x14ac:dyDescent="0.25">
      <c r="B320" s="55" t="str">
        <f t="shared" si="21"/>
        <v>UNIÃO DOS PALMARES</v>
      </c>
      <c r="C320" s="67"/>
      <c r="D320" s="70"/>
      <c r="E320" s="70"/>
      <c r="F320" s="73"/>
      <c r="G320" s="70"/>
      <c r="H320" s="3" t="s">
        <v>19</v>
      </c>
      <c r="I320" s="3" t="s">
        <v>22</v>
      </c>
      <c r="J320" s="3" t="s">
        <v>40</v>
      </c>
      <c r="K320" s="11">
        <v>1</v>
      </c>
      <c r="L320" s="3" t="s">
        <v>4</v>
      </c>
      <c r="M320" s="5" t="s">
        <v>18</v>
      </c>
      <c r="N320" s="29" t="s">
        <v>18</v>
      </c>
    </row>
    <row r="321" spans="2:14" x14ac:dyDescent="0.25">
      <c r="B321" s="55" t="str">
        <f t="shared" si="21"/>
        <v>UNIÃO DOS PALMARES</v>
      </c>
      <c r="C321" s="67"/>
      <c r="D321" s="70"/>
      <c r="E321" s="70"/>
      <c r="F321" s="73"/>
      <c r="G321" s="70"/>
      <c r="H321" s="2" t="s">
        <v>27</v>
      </c>
      <c r="I321" s="2" t="s">
        <v>23</v>
      </c>
      <c r="J321" s="2" t="s">
        <v>50</v>
      </c>
      <c r="K321" s="10">
        <f>K316</f>
        <v>1</v>
      </c>
      <c r="L321" s="2" t="s">
        <v>2</v>
      </c>
      <c r="M321" s="4">
        <f>M316</f>
        <v>45933</v>
      </c>
      <c r="N321" s="30" t="str">
        <f>N316</f>
        <v>-</v>
      </c>
    </row>
    <row r="322" spans="2:14" x14ac:dyDescent="0.25">
      <c r="B322" s="55" t="str">
        <f t="shared" si="21"/>
        <v>UNIÃO DOS PALMARES</v>
      </c>
      <c r="C322" s="67"/>
      <c r="D322" s="70"/>
      <c r="E322" s="70"/>
      <c r="F322" s="73"/>
      <c r="G322" s="70"/>
      <c r="H322" s="2" t="s">
        <v>27</v>
      </c>
      <c r="I322" s="2" t="s">
        <v>22</v>
      </c>
      <c r="J322" s="2" t="s">
        <v>38</v>
      </c>
      <c r="K322" s="10">
        <f>K318</f>
        <v>1</v>
      </c>
      <c r="L322" s="2" t="s">
        <v>2</v>
      </c>
      <c r="M322" s="4">
        <f>M318</f>
        <v>45961</v>
      </c>
      <c r="N322" s="30">
        <f>N318</f>
        <v>45968</v>
      </c>
    </row>
    <row r="323" spans="2:14" x14ac:dyDescent="0.25">
      <c r="B323" s="55" t="str">
        <f t="shared" si="21"/>
        <v>UNIÃO DOS PALMARES</v>
      </c>
      <c r="C323" s="67"/>
      <c r="D323" s="70"/>
      <c r="E323" s="70"/>
      <c r="F323" s="73"/>
      <c r="G323" s="70"/>
      <c r="H323" s="2" t="s">
        <v>27</v>
      </c>
      <c r="I323" s="2" t="s">
        <v>25</v>
      </c>
      <c r="J323" s="2" t="s">
        <v>41</v>
      </c>
      <c r="K323" s="10">
        <v>0.8</v>
      </c>
      <c r="L323" s="2" t="s">
        <v>2</v>
      </c>
      <c r="M323" s="4">
        <f>M322+14</f>
        <v>45975</v>
      </c>
      <c r="N323" s="30">
        <v>46140</v>
      </c>
    </row>
    <row r="324" spans="2:14" x14ac:dyDescent="0.25">
      <c r="B324" s="55" t="str">
        <f t="shared" si="21"/>
        <v>UNIÃO DOS PALMARES</v>
      </c>
      <c r="C324" s="67"/>
      <c r="D324" s="70"/>
      <c r="E324" s="70"/>
      <c r="F324" s="73"/>
      <c r="G324" s="70"/>
      <c r="H324" s="2" t="s">
        <v>27</v>
      </c>
      <c r="I324" s="2" t="s">
        <v>22</v>
      </c>
      <c r="J324" s="2" t="s">
        <v>42</v>
      </c>
      <c r="K324" s="10">
        <v>0</v>
      </c>
      <c r="L324" s="2" t="s">
        <v>2</v>
      </c>
      <c r="M324" s="4">
        <f>M323+7</f>
        <v>45982</v>
      </c>
      <c r="N324" s="30">
        <f>N323+7</f>
        <v>46147</v>
      </c>
    </row>
    <row r="325" spans="2:14" x14ac:dyDescent="0.25">
      <c r="B325" s="55" t="str">
        <f t="shared" si="21"/>
        <v>UNIÃO DOS PALMARES</v>
      </c>
      <c r="C325" s="67"/>
      <c r="D325" s="70"/>
      <c r="E325" s="70"/>
      <c r="F325" s="73"/>
      <c r="G325" s="70"/>
      <c r="H325" s="2" t="s">
        <v>27</v>
      </c>
      <c r="I325" s="2" t="s">
        <v>25</v>
      </c>
      <c r="J325" s="2" t="s">
        <v>43</v>
      </c>
      <c r="K325" s="10">
        <v>0</v>
      </c>
      <c r="L325" s="2" t="s">
        <v>2</v>
      </c>
      <c r="M325" s="4">
        <f>M330</f>
        <v>46017</v>
      </c>
      <c r="N325" s="30">
        <f>N330</f>
        <v>46185</v>
      </c>
    </row>
    <row r="326" spans="2:14" x14ac:dyDescent="0.25">
      <c r="B326" s="55" t="str">
        <f t="shared" si="21"/>
        <v>UNIÃO DOS PALMARES</v>
      </c>
      <c r="C326" s="67"/>
      <c r="D326" s="70"/>
      <c r="E326" s="70"/>
      <c r="F326" s="73"/>
      <c r="G326" s="70"/>
      <c r="H326" s="3" t="s">
        <v>28</v>
      </c>
      <c r="I326" s="3" t="s">
        <v>23</v>
      </c>
      <c r="J326" s="3" t="s">
        <v>50</v>
      </c>
      <c r="K326" s="11">
        <f>K316</f>
        <v>1</v>
      </c>
      <c r="L326" s="3" t="s">
        <v>2</v>
      </c>
      <c r="M326" s="5">
        <f>M316</f>
        <v>45933</v>
      </c>
      <c r="N326" s="31" t="str">
        <f>N316</f>
        <v>-</v>
      </c>
    </row>
    <row r="327" spans="2:14" x14ac:dyDescent="0.25">
      <c r="B327" s="55" t="str">
        <f t="shared" si="21"/>
        <v>UNIÃO DOS PALMARES</v>
      </c>
      <c r="C327" s="67"/>
      <c r="D327" s="70"/>
      <c r="E327" s="70"/>
      <c r="F327" s="73"/>
      <c r="G327" s="70"/>
      <c r="H327" s="3" t="s">
        <v>28</v>
      </c>
      <c r="I327" s="3" t="s">
        <v>22</v>
      </c>
      <c r="J327" s="3" t="s">
        <v>38</v>
      </c>
      <c r="K327" s="11">
        <f>K318</f>
        <v>1</v>
      </c>
      <c r="L327" s="3" t="s">
        <v>2</v>
      </c>
      <c r="M327" s="5">
        <f>M318</f>
        <v>45961</v>
      </c>
      <c r="N327" s="31">
        <f>N318</f>
        <v>45968</v>
      </c>
    </row>
    <row r="328" spans="2:14" x14ac:dyDescent="0.25">
      <c r="B328" s="55" t="str">
        <f t="shared" si="21"/>
        <v>UNIÃO DOS PALMARES</v>
      </c>
      <c r="C328" s="67"/>
      <c r="D328" s="70"/>
      <c r="E328" s="70"/>
      <c r="F328" s="73"/>
      <c r="G328" s="70"/>
      <c r="H328" s="3" t="s">
        <v>28</v>
      </c>
      <c r="I328" s="3" t="s">
        <v>25</v>
      </c>
      <c r="J328" s="3" t="s">
        <v>41</v>
      </c>
      <c r="K328" s="11">
        <v>0.8</v>
      </c>
      <c r="L328" s="3" t="s">
        <v>2</v>
      </c>
      <c r="M328" s="5">
        <f>M323</f>
        <v>45975</v>
      </c>
      <c r="N328" s="31">
        <v>46150</v>
      </c>
    </row>
    <row r="329" spans="2:14" x14ac:dyDescent="0.25">
      <c r="B329" s="55" t="str">
        <f t="shared" si="21"/>
        <v>UNIÃO DOS PALMARES</v>
      </c>
      <c r="C329" s="67"/>
      <c r="D329" s="70"/>
      <c r="E329" s="70"/>
      <c r="F329" s="73"/>
      <c r="G329" s="70"/>
      <c r="H329" s="3" t="s">
        <v>28</v>
      </c>
      <c r="I329" s="3" t="s">
        <v>22</v>
      </c>
      <c r="J329" s="3" t="s">
        <v>42</v>
      </c>
      <c r="K329" s="11">
        <v>0</v>
      </c>
      <c r="L329" s="3" t="s">
        <v>2</v>
      </c>
      <c r="M329" s="5">
        <f>M328+7</f>
        <v>45982</v>
      </c>
      <c r="N329" s="31">
        <f>N328+7</f>
        <v>46157</v>
      </c>
    </row>
    <row r="330" spans="2:14" x14ac:dyDescent="0.25">
      <c r="B330" s="55" t="str">
        <f t="shared" si="21"/>
        <v>UNIÃO DOS PALMARES</v>
      </c>
      <c r="C330" s="67"/>
      <c r="D330" s="70"/>
      <c r="E330" s="70"/>
      <c r="F330" s="73"/>
      <c r="G330" s="70"/>
      <c r="H330" s="3" t="s">
        <v>28</v>
      </c>
      <c r="I330" s="3" t="s">
        <v>25</v>
      </c>
      <c r="J330" s="3" t="s">
        <v>43</v>
      </c>
      <c r="K330" s="11">
        <v>0</v>
      </c>
      <c r="L330" s="3" t="s">
        <v>2</v>
      </c>
      <c r="M330" s="5">
        <f>M342</f>
        <v>46017</v>
      </c>
      <c r="N330" s="31">
        <f>N342</f>
        <v>46185</v>
      </c>
    </row>
    <row r="331" spans="2:14" x14ac:dyDescent="0.25">
      <c r="B331" s="55" t="str">
        <f t="shared" si="21"/>
        <v>UNIÃO DOS PALMARES</v>
      </c>
      <c r="C331" s="67"/>
      <c r="D331" s="70"/>
      <c r="E331" s="70"/>
      <c r="F331" s="73"/>
      <c r="G331" s="70"/>
      <c r="H331" s="2" t="s">
        <v>20</v>
      </c>
      <c r="I331" s="2" t="s">
        <v>23</v>
      </c>
      <c r="J331" s="2" t="s">
        <v>50</v>
      </c>
      <c r="K331" s="10">
        <f>K316</f>
        <v>1</v>
      </c>
      <c r="L331" s="2" t="s">
        <v>2</v>
      </c>
      <c r="M331" s="4">
        <f>M316</f>
        <v>45933</v>
      </c>
      <c r="N331" s="30" t="str">
        <f>N316</f>
        <v>-</v>
      </c>
    </row>
    <row r="332" spans="2:14" x14ac:dyDescent="0.25">
      <c r="B332" s="55" t="str">
        <f t="shared" si="21"/>
        <v>UNIÃO DOS PALMARES</v>
      </c>
      <c r="C332" s="67"/>
      <c r="D332" s="70"/>
      <c r="E332" s="70"/>
      <c r="F332" s="73"/>
      <c r="G332" s="70"/>
      <c r="H332" s="2" t="s">
        <v>20</v>
      </c>
      <c r="I332" s="2" t="s">
        <v>22</v>
      </c>
      <c r="J332" s="2" t="s">
        <v>38</v>
      </c>
      <c r="K332" s="10">
        <f>K318</f>
        <v>1</v>
      </c>
      <c r="L332" s="2" t="s">
        <v>2</v>
      </c>
      <c r="M332" s="4">
        <f>M318</f>
        <v>45961</v>
      </c>
      <c r="N332" s="30">
        <f>N318</f>
        <v>45968</v>
      </c>
    </row>
    <row r="333" spans="2:14" x14ac:dyDescent="0.25">
      <c r="B333" s="55" t="str">
        <f t="shared" si="21"/>
        <v>UNIÃO DOS PALMARES</v>
      </c>
      <c r="C333" s="67"/>
      <c r="D333" s="70"/>
      <c r="E333" s="70"/>
      <c r="F333" s="73"/>
      <c r="G333" s="70"/>
      <c r="H333" s="2" t="s">
        <v>20</v>
      </c>
      <c r="I333" s="2" t="s">
        <v>25</v>
      </c>
      <c r="J333" s="2" t="s">
        <v>41</v>
      </c>
      <c r="K333" s="10">
        <v>0.8</v>
      </c>
      <c r="L333" s="2" t="s">
        <v>2</v>
      </c>
      <c r="M333" s="4">
        <f>M329+14</f>
        <v>45996</v>
      </c>
      <c r="N333" s="30">
        <f>N329+7</f>
        <v>46164</v>
      </c>
    </row>
    <row r="334" spans="2:14" x14ac:dyDescent="0.25">
      <c r="B334" s="55" t="str">
        <f t="shared" si="21"/>
        <v>UNIÃO DOS PALMARES</v>
      </c>
      <c r="C334" s="67"/>
      <c r="D334" s="70"/>
      <c r="E334" s="70"/>
      <c r="F334" s="73"/>
      <c r="G334" s="70"/>
      <c r="H334" s="2" t="s">
        <v>20</v>
      </c>
      <c r="I334" s="2" t="s">
        <v>22</v>
      </c>
      <c r="J334" s="2" t="s">
        <v>42</v>
      </c>
      <c r="K334" s="10">
        <v>0</v>
      </c>
      <c r="L334" s="2" t="s">
        <v>2</v>
      </c>
      <c r="M334" s="4">
        <f>M333+7</f>
        <v>46003</v>
      </c>
      <c r="N334" s="30">
        <f>N333+7</f>
        <v>46171</v>
      </c>
    </row>
    <row r="335" spans="2:14" x14ac:dyDescent="0.25">
      <c r="B335" s="55" t="str">
        <f t="shared" si="21"/>
        <v>UNIÃO DOS PALMARES</v>
      </c>
      <c r="C335" s="67"/>
      <c r="D335" s="70"/>
      <c r="E335" s="70"/>
      <c r="F335" s="73"/>
      <c r="G335" s="70"/>
      <c r="H335" s="2" t="s">
        <v>20</v>
      </c>
      <c r="I335" s="2" t="s">
        <v>25</v>
      </c>
      <c r="J335" s="2" t="s">
        <v>43</v>
      </c>
      <c r="K335" s="10">
        <v>0</v>
      </c>
      <c r="L335" s="2" t="s">
        <v>2</v>
      </c>
      <c r="M335" s="4">
        <f>M342</f>
        <v>46017</v>
      </c>
      <c r="N335" s="30">
        <f>N342</f>
        <v>46185</v>
      </c>
    </row>
    <row r="336" spans="2:14" x14ac:dyDescent="0.25">
      <c r="B336" s="55" t="str">
        <f t="shared" si="21"/>
        <v>UNIÃO DOS PALMARES</v>
      </c>
      <c r="C336" s="67"/>
      <c r="D336" s="70"/>
      <c r="E336" s="70"/>
      <c r="F336" s="73"/>
      <c r="G336" s="70"/>
      <c r="H336" s="3" t="s">
        <v>30</v>
      </c>
      <c r="I336" s="3" t="s">
        <v>23</v>
      </c>
      <c r="J336" s="3" t="s">
        <v>50</v>
      </c>
      <c r="K336" s="11">
        <f>K316</f>
        <v>1</v>
      </c>
      <c r="L336" s="3" t="s">
        <v>2</v>
      </c>
      <c r="M336" s="5">
        <f>M316</f>
        <v>45933</v>
      </c>
      <c r="N336" s="31" t="str">
        <f>N316</f>
        <v>-</v>
      </c>
    </row>
    <row r="337" spans="2:14" x14ac:dyDescent="0.25">
      <c r="B337" s="55" t="str">
        <f t="shared" si="21"/>
        <v>UNIÃO DOS PALMARES</v>
      </c>
      <c r="C337" s="67"/>
      <c r="D337" s="70"/>
      <c r="E337" s="70"/>
      <c r="F337" s="73"/>
      <c r="G337" s="70"/>
      <c r="H337" s="3" t="s">
        <v>30</v>
      </c>
      <c r="I337" s="3" t="s">
        <v>22</v>
      </c>
      <c r="J337" s="3" t="s">
        <v>38</v>
      </c>
      <c r="K337" s="11">
        <f>K318</f>
        <v>1</v>
      </c>
      <c r="L337" s="3" t="s">
        <v>2</v>
      </c>
      <c r="M337" s="5">
        <f>M318</f>
        <v>45961</v>
      </c>
      <c r="N337" s="31">
        <f>N318</f>
        <v>45968</v>
      </c>
    </row>
    <row r="338" spans="2:14" x14ac:dyDescent="0.25">
      <c r="B338" s="55" t="str">
        <f t="shared" si="21"/>
        <v>UNIÃO DOS PALMARES</v>
      </c>
      <c r="C338" s="67"/>
      <c r="D338" s="70"/>
      <c r="E338" s="70"/>
      <c r="F338" s="73"/>
      <c r="G338" s="70"/>
      <c r="H338" s="3" t="s">
        <v>30</v>
      </c>
      <c r="I338" s="3" t="s">
        <v>25</v>
      </c>
      <c r="J338" s="3" t="s">
        <v>39</v>
      </c>
      <c r="K338" s="11">
        <f>K319</f>
        <v>1</v>
      </c>
      <c r="L338" s="3" t="s">
        <v>4</v>
      </c>
      <c r="M338" s="5" t="s">
        <v>18</v>
      </c>
      <c r="N338" s="31" t="s">
        <v>18</v>
      </c>
    </row>
    <row r="339" spans="2:14" x14ac:dyDescent="0.25">
      <c r="B339" s="55" t="str">
        <f t="shared" si="21"/>
        <v>UNIÃO DOS PALMARES</v>
      </c>
      <c r="C339" s="67"/>
      <c r="D339" s="70"/>
      <c r="E339" s="70"/>
      <c r="F339" s="73"/>
      <c r="G339" s="70"/>
      <c r="H339" s="3" t="s">
        <v>30</v>
      </c>
      <c r="I339" s="3" t="s">
        <v>22</v>
      </c>
      <c r="J339" s="3" t="s">
        <v>40</v>
      </c>
      <c r="K339" s="11">
        <f>K320</f>
        <v>1</v>
      </c>
      <c r="L339" s="3" t="s">
        <v>4</v>
      </c>
      <c r="M339" s="5" t="s">
        <v>18</v>
      </c>
      <c r="N339" s="31" t="s">
        <v>18</v>
      </c>
    </row>
    <row r="340" spans="2:14" x14ac:dyDescent="0.25">
      <c r="B340" s="55" t="str">
        <f t="shared" si="21"/>
        <v>UNIÃO DOS PALMARES</v>
      </c>
      <c r="C340" s="67"/>
      <c r="D340" s="70"/>
      <c r="E340" s="70"/>
      <c r="F340" s="73"/>
      <c r="G340" s="70"/>
      <c r="H340" s="3" t="s">
        <v>30</v>
      </c>
      <c r="I340" s="3" t="s">
        <v>25</v>
      </c>
      <c r="J340" s="3" t="s">
        <v>41</v>
      </c>
      <c r="K340" s="11">
        <v>0.8</v>
      </c>
      <c r="L340" s="3" t="s">
        <v>2</v>
      </c>
      <c r="M340" s="5">
        <f>M329+14</f>
        <v>45996</v>
      </c>
      <c r="N340" s="31">
        <f>N328+14</f>
        <v>46164</v>
      </c>
    </row>
    <row r="341" spans="2:14" x14ac:dyDescent="0.25">
      <c r="B341" s="55" t="str">
        <f t="shared" si="21"/>
        <v>UNIÃO DOS PALMARES</v>
      </c>
      <c r="C341" s="67"/>
      <c r="D341" s="70"/>
      <c r="E341" s="70"/>
      <c r="F341" s="73"/>
      <c r="G341" s="70"/>
      <c r="H341" s="3" t="s">
        <v>30</v>
      </c>
      <c r="I341" s="3" t="s">
        <v>22</v>
      </c>
      <c r="J341" s="3" t="s">
        <v>42</v>
      </c>
      <c r="K341" s="11">
        <v>0</v>
      </c>
      <c r="L341" s="3" t="s">
        <v>2</v>
      </c>
      <c r="M341" s="5">
        <f>M340+7</f>
        <v>46003</v>
      </c>
      <c r="N341" s="31">
        <f>N340+7</f>
        <v>46171</v>
      </c>
    </row>
    <row r="342" spans="2:14" x14ac:dyDescent="0.25">
      <c r="B342" s="55" t="str">
        <f t="shared" si="21"/>
        <v>UNIÃO DOS PALMARES</v>
      </c>
      <c r="C342" s="67"/>
      <c r="D342" s="70"/>
      <c r="E342" s="70"/>
      <c r="F342" s="73"/>
      <c r="G342" s="70"/>
      <c r="H342" s="3" t="s">
        <v>30</v>
      </c>
      <c r="I342" s="3" t="s">
        <v>25</v>
      </c>
      <c r="J342" s="3" t="s">
        <v>43</v>
      </c>
      <c r="K342" s="11">
        <v>0</v>
      </c>
      <c r="L342" s="3" t="s">
        <v>2</v>
      </c>
      <c r="M342" s="5">
        <f>M341+14</f>
        <v>46017</v>
      </c>
      <c r="N342" s="31">
        <f>N341+14</f>
        <v>46185</v>
      </c>
    </row>
    <row r="343" spans="2:14" x14ac:dyDescent="0.25">
      <c r="B343" s="55" t="str">
        <f t="shared" si="21"/>
        <v>UNIÃO DOS PALMARES</v>
      </c>
      <c r="C343" s="67"/>
      <c r="D343" s="70"/>
      <c r="E343" s="70"/>
      <c r="F343" s="73"/>
      <c r="G343" s="70"/>
      <c r="H343" s="2" t="s">
        <v>29</v>
      </c>
      <c r="I343" s="2" t="s">
        <v>23</v>
      </c>
      <c r="J343" s="2" t="s">
        <v>46</v>
      </c>
      <c r="K343" s="10">
        <f>K316</f>
        <v>1</v>
      </c>
      <c r="L343" s="2" t="s">
        <v>2</v>
      </c>
      <c r="M343" s="4">
        <f>M316</f>
        <v>45933</v>
      </c>
      <c r="N343" s="30" t="str">
        <f>N316</f>
        <v>-</v>
      </c>
    </row>
    <row r="344" spans="2:14" ht="15.75" thickBot="1" x14ac:dyDescent="0.3">
      <c r="B344" s="56" t="str">
        <f t="shared" si="21"/>
        <v>UNIÃO DOS PALMARES</v>
      </c>
      <c r="C344" s="68"/>
      <c r="D344" s="71"/>
      <c r="E344" s="71"/>
      <c r="F344" s="74"/>
      <c r="G344" s="71"/>
      <c r="H344" s="34" t="s">
        <v>29</v>
      </c>
      <c r="I344" s="34" t="s">
        <v>25</v>
      </c>
      <c r="J344" s="34" t="s">
        <v>47</v>
      </c>
      <c r="K344" s="35">
        <v>0</v>
      </c>
      <c r="L344" s="34" t="s">
        <v>2</v>
      </c>
      <c r="M344" s="36">
        <f>M340+7</f>
        <v>46003</v>
      </c>
      <c r="N344" s="37">
        <f>N340+7</f>
        <v>46171</v>
      </c>
    </row>
  </sheetData>
  <autoFilter ref="B3:N344" xr:uid="{6C8FB18A-851F-4248-8A89-C9474DAE237B}">
    <filterColumn colId="0">
      <filters>
        <filter val="JACUÍPE"/>
        <filter val="TAQUARANA"/>
        <filter val="UNIÃO DOS PALMARES"/>
      </filters>
    </filterColumn>
  </autoFilter>
  <mergeCells count="55">
    <mergeCell ref="C314:C344"/>
    <mergeCell ref="D314:D344"/>
    <mergeCell ref="E314:E344"/>
    <mergeCell ref="G314:G344"/>
    <mergeCell ref="F314:F344"/>
    <mergeCell ref="C283:C313"/>
    <mergeCell ref="D283:D313"/>
    <mergeCell ref="E283:E313"/>
    <mergeCell ref="G283:G313"/>
    <mergeCell ref="F283:F313"/>
    <mergeCell ref="C252:C282"/>
    <mergeCell ref="D252:D282"/>
    <mergeCell ref="E252:E282"/>
    <mergeCell ref="G252:G282"/>
    <mergeCell ref="F252:F282"/>
    <mergeCell ref="C221:C251"/>
    <mergeCell ref="D221:D251"/>
    <mergeCell ref="E221:E251"/>
    <mergeCell ref="G221:G251"/>
    <mergeCell ref="F221:F251"/>
    <mergeCell ref="C190:C220"/>
    <mergeCell ref="D190:D220"/>
    <mergeCell ref="E190:E220"/>
    <mergeCell ref="G190:G220"/>
    <mergeCell ref="F190:F220"/>
    <mergeCell ref="C159:C189"/>
    <mergeCell ref="D159:D189"/>
    <mergeCell ref="E159:E189"/>
    <mergeCell ref="G159:G189"/>
    <mergeCell ref="F159:F189"/>
    <mergeCell ref="C128:C158"/>
    <mergeCell ref="D128:D158"/>
    <mergeCell ref="E128:E158"/>
    <mergeCell ref="G128:G158"/>
    <mergeCell ref="F128:F158"/>
    <mergeCell ref="C97:C127"/>
    <mergeCell ref="D97:D127"/>
    <mergeCell ref="E97:E127"/>
    <mergeCell ref="G97:G127"/>
    <mergeCell ref="G66:G96"/>
    <mergeCell ref="C66:C96"/>
    <mergeCell ref="D66:D96"/>
    <mergeCell ref="E66:E96"/>
    <mergeCell ref="F66:F96"/>
    <mergeCell ref="F97:F127"/>
    <mergeCell ref="C35:C65"/>
    <mergeCell ref="D35:D65"/>
    <mergeCell ref="E35:E65"/>
    <mergeCell ref="G35:G65"/>
    <mergeCell ref="C4:C34"/>
    <mergeCell ref="D4:D34"/>
    <mergeCell ref="E4:E34"/>
    <mergeCell ref="G4:G34"/>
    <mergeCell ref="F4:F34"/>
    <mergeCell ref="F35:F65"/>
  </mergeCells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Resumo e Plano 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Duarte</dc:creator>
  <cp:lastModifiedBy>Giansante, Bruno</cp:lastModifiedBy>
  <dcterms:created xsi:type="dcterms:W3CDTF">2025-07-15T20:21:41Z</dcterms:created>
  <dcterms:modified xsi:type="dcterms:W3CDTF">2026-05-08T17:26:47Z</dcterms:modified>
</cp:coreProperties>
</file>